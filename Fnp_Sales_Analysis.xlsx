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fb8dc8294a14be10/Desktop/Excel Project/"/>
    </mc:Choice>
  </mc:AlternateContent>
  <xr:revisionPtr revIDLastSave="490" documentId="8_{F80FE1FC-3082-4BEF-8FEC-8E9090CB5429}" xr6:coauthVersionLast="47" xr6:coauthVersionMax="47" xr10:uidLastSave="{F308434B-2A9B-49E0-966C-5BFE79D66EEC}"/>
  <bookViews>
    <workbookView xWindow="-108" yWindow="-108" windowWidth="23256" windowHeight="12456" firstSheet="1" activeTab="4" xr2:uid="{6D5E5516-F75F-4B52-B3C1-71E964C58CD9}"/>
  </bookViews>
  <sheets>
    <sheet name="Dataset"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Dataset!$A$1:$F$4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d115f121-54df-4de9-b8ad-ca555f408a28" name="Dataset" connection="Query - Dataset"/>
          <x15:modelTable id="Customers_b6bb4e06-d648-4d47-b725-4dd310fc2956" name="Customers" connection="Query - Customers"/>
          <x15:modelTable id="Orders_3e456135-3cad-4aa5-94d3-4c26750ff481" name="Orders" connection="Query - Orders"/>
          <x15:modelTable id="Products_d52c5a15-7e5d-4d47-b401-0dff52fd7d7f"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DBA2A1-DEEC-4D77-9A9C-BB67E807B705}" keepAlive="1" name="ModelConnection_ExternalData_1" description="Data Model" type="5" refreshedVersion="8" minRefreshableVersion="5" saveData="1">
    <dbPr connection="Data Model Connection" command="Dataset" commandType="3"/>
    <extLst>
      <ext xmlns:x15="http://schemas.microsoft.com/office/spreadsheetml/2010/11/main" uri="{DE250136-89BD-433C-8126-D09CA5730AF9}">
        <x15:connection id="" model="1"/>
      </ext>
    </extLst>
  </connection>
  <connection id="2" xr16:uid="{460DBCC0-FE74-4599-8D80-52BB2FB219BD}"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9641AF28-3879-44F6-BB3D-46DBF89965FA}"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278D50E4-0725-4BF2-885D-23FB4A60AFC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E6A73022-1BC1-4F7E-AC5C-5C6F5700166A}" name="Query - Customers" description="Connection to the 'Customers' query in the workbook." type="100" refreshedVersion="8" minRefreshableVersion="5">
    <extLst>
      <ext xmlns:x15="http://schemas.microsoft.com/office/spreadsheetml/2010/11/main" uri="{DE250136-89BD-433C-8126-D09CA5730AF9}">
        <x15:connection id="da97bd80-9724-47d1-9f70-d96e1a871872"/>
      </ext>
    </extLst>
  </connection>
  <connection id="6" xr16:uid="{5C5BB06F-2952-439B-BCCD-B88243644ADC}" name="Query - Dataset" description="Connection to the 'Dataset' query in the workbook." type="100" refreshedVersion="8" minRefreshableVersion="5">
    <extLst>
      <ext xmlns:x15="http://schemas.microsoft.com/office/spreadsheetml/2010/11/main" uri="{DE250136-89BD-433C-8126-D09CA5730AF9}">
        <x15:connection id="a72d0b84-df97-45c3-9d3c-8769c95c27d3"/>
      </ext>
    </extLst>
  </connection>
  <connection id="7" xr16:uid="{30F2FF0B-4866-4DBF-A93E-90D08A69C970}" name="Query - Orders" description="Connection to the 'Orders' query in the workbook." type="100" refreshedVersion="8" minRefreshableVersion="5">
    <extLst>
      <ext xmlns:x15="http://schemas.microsoft.com/office/spreadsheetml/2010/11/main" uri="{DE250136-89BD-433C-8126-D09CA5730AF9}">
        <x15:connection id="cc62af14-2d58-40b3-964b-cbe77a5797a9"/>
      </ext>
    </extLst>
  </connection>
  <connection id="8" xr16:uid="{067E094F-5200-429F-9F28-63100EFBCFB2}" name="Query - Products" description="Connection to the 'Products' query in the workbook." type="100" refreshedVersion="8" minRefreshableVersion="5">
    <extLst>
      <ext xmlns:x15="http://schemas.microsoft.com/office/spreadsheetml/2010/11/main" uri="{DE250136-89BD-433C-8126-D09CA5730AF9}">
        <x15:connection id="fba043be-ce40-4734-8664-004ce466b4f6"/>
      </ext>
    </extLst>
  </connection>
  <connection id="9" xr16:uid="{DCB6BB6A-704F-406D-A2C8-553854CE76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<sst xmlns="http://schemas.openxmlformats.org/spreadsheetml/2006/main" count="6098" uniqueCount="1023">
  <si>
    <t>Name</t>
  </si>
  <si>
    <t>Extension</t>
  </si>
  <si>
    <t>Date accessed</t>
  </si>
  <si>
    <t>Date modified</t>
  </si>
  <si>
    <t>Date created</t>
  </si>
  <si>
    <t>Folder Path</t>
  </si>
  <si>
    <t>customers.csv</t>
  </si>
  <si>
    <t>.csv</t>
  </si>
  <si>
    <t>C:\Users\Arnipalli Madhu\OneDrive\Desktop\Dataset\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</si>
  <si>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</si>
  <si>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</si>
  <si>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</si>
  <si>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</si>
  <si>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</si>
  <si>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</si>
  <si>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</si>
  <si>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</si>
  <si>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</si>
  <si>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</si>
  <si>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</si>
  <si>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</si>
  <si>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</si>
  <si>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</si>
  <si>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</si>
  <si>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</si>
  <si>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</si>
  <si>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</si>
  <si>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</si>
  <si>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</si>
  <si>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</si>
  <si>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</si>
  <si>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</si>
  <si>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</si>
  <si>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</si>
  <si>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</si>
  <si>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</si>
  <si>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</si>
  <si>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</si>
  <si>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</si>
  <si>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</si>
  <si>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</si>
  <si>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</si>
  <si>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</si>
  <si>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</si>
  <si>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</si>
  <si>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</si>
  <si>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</si>
  <si>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</si>
  <si>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</si>
  <si>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</si>
  <si>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</si>
  <si>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</si>
  <si>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</si>
  <si>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</si>
  <si>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</si>
  <si>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</si>
  <si>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</si>
  <si>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</si>
  <si>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</si>
  <si>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</si>
  <si>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</si>
  <si>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</si>
  <si>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</si>
  <si>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</si>
  <si>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</si>
  <si>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</si>
  <si>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</si>
  <si>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</si>
  <si>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</si>
  <si>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</si>
  <si>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</si>
  <si>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</si>
  <si>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</si>
  <si>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</si>
  <si>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</si>
  <si>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</si>
  <si>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</si>
  <si>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</si>
  <si>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</si>
  <si>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</si>
  <si>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</si>
  <si>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</si>
  <si>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</si>
  <si>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</si>
  <si>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</si>
  <si>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</si>
  <si>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</si>
  <si>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</si>
  <si>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</si>
  <si>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</si>
  <si>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</si>
  <si>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</si>
  <si>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</si>
  <si>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</si>
  <si>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</si>
  <si>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</si>
  <si>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</si>
  <si>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</si>
  <si>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</si>
  <si>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</si>
  <si>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</si>
  <si>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</si>
  <si>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</si>
  <si>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</si>
  <si>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</si>
  <si>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</si>
  <si>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</si>
  <si>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</si>
  <si>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</si>
  <si>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</si>
  <si>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</si>
  <si>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</si>
  <si>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</si>
  <si>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</si>
  <si>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</si>
  <si>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</si>
  <si>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</si>
  <si>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</si>
  <si>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</si>
  <si>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</si>
  <si>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</si>
  <si>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</si>
  <si>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</si>
  <si>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</si>
  <si>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</si>
  <si>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</si>
  <si>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</si>
  <si>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</si>
  <si>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</si>
  <si>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</si>
  <si>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</si>
  <si>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</si>
  <si>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</si>
  <si>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</si>
  <si>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</si>
  <si>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</si>
  <si>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</si>
  <si>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</si>
  <si>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</si>
  <si>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</si>
  <si>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</si>
  <si>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</si>
  <si>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</si>
  <si>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</si>
  <si>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</si>
  <si>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</si>
  <si>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</si>
  <si>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</si>
  <si>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</si>
  <si>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</si>
  <si>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</si>
  <si>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</si>
  <si>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</si>
  <si>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</si>
  <si>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</si>
  <si>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</si>
  <si>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</si>
  <si>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</si>
  <si>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</si>
  <si>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</si>
  <si>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</si>
  <si>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</si>
  <si>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</si>
  <si>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</si>
  <si>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</si>
  <si>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</si>
  <si>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</si>
  <si>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</si>
  <si>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</si>
  <si>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</si>
  <si>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</si>
  <si>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</si>
  <si>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</si>
  <si>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</si>
  <si>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</si>
  <si>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</si>
  <si>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</si>
  <si>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</si>
  <si>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</si>
  <si>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</si>
  <si>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</si>
  <si>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</si>
  <si>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</si>
  <si>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</si>
  <si>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</si>
  <si>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</si>
  <si>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</si>
  <si>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</si>
  <si>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</si>
  <si>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</si>
  <si>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</si>
  <si>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</si>
  <si>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</si>
  <si>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</si>
  <si>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</si>
  <si>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</si>
  <si>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</si>
  <si>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</si>
  <si>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</si>
  <si>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</si>
  <si>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</si>
  <si>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</si>
  <si>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</si>
  <si>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</si>
  <si>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</si>
  <si>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</si>
  <si>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</si>
  <si>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</si>
  <si>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</si>
  <si>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</si>
  <si>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</si>
  <si>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</si>
  <si>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</si>
  <si>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</si>
  <si>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</si>
  <si>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</si>
  <si>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</si>
  <si>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</si>
  <si>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</si>
  <si>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</si>
  <si>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</si>
  <si>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</si>
  <si>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</si>
  <si>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</si>
  <si>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</si>
  <si>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</si>
  <si>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</si>
  <si>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</si>
  <si>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</si>
  <si>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</si>
  <si>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</si>
  <si>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</si>
  <si>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</si>
  <si>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</si>
  <si>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</si>
  <si>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</si>
  <si>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</si>
  <si>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</si>
  <si>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</si>
  <si>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</si>
  <si>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</si>
  <si>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</si>
  <si>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</si>
  <si>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</si>
  <si>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</si>
  <si>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</si>
  <si>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</si>
  <si>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</si>
  <si>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</si>
  <si>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</si>
  <si>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</si>
  <si>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</si>
  <si>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</si>
  <si>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</si>
  <si>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</si>
  <si>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</si>
  <si>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</si>
  <si>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</si>
  <si>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</si>
  <si>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</si>
  <si>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</si>
  <si>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</si>
  <si>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</si>
  <si>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</si>
  <si>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</si>
  <si>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</si>
  <si>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</si>
  <si>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</si>
  <si>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</si>
  <si>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</si>
  <si>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</si>
  <si>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</si>
  <si>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</si>
  <si>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</si>
  <si>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</si>
  <si>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</si>
  <si>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</si>
  <si>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</si>
  <si>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</si>
  <si>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</si>
  <si>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</si>
  <si>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</si>
  <si>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</si>
  <si>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</si>
  <si>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</si>
  <si>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</si>
  <si>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</si>
  <si>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</si>
  <si>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</si>
  <si>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</si>
  <si>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</si>
  <si>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</si>
  <si>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</si>
  <si>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</si>
  <si>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</si>
  <si>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</si>
  <si>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</si>
  <si>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</si>
  <si>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</si>
  <si>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</si>
  <si>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</si>
  <si>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</si>
  <si>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</si>
  <si>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</si>
  <si>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</si>
  <si>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</si>
  <si>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</si>
  <si>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</si>
  <si>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</si>
  <si>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</si>
  <si>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</si>
  <si>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</si>
  <si>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</si>
  <si>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</si>
  <si>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</si>
  <si>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</si>
  <si>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</si>
  <si>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</si>
  <si>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</si>
  <si>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</si>
  <si>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</si>
  <si>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</si>
  <si>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</si>
  <si>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</si>
  <si>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</si>
  <si>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</si>
  <si>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</si>
  <si>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</si>
  <si>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</si>
  <si>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</si>
  <si>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</si>
  <si>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</si>
  <si>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</si>
  <si>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</si>
  <si>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</si>
  <si>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</si>
  <si>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</si>
  <si>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</si>
  <si>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</si>
  <si>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</si>
  <si>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</si>
  <si>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</si>
  <si>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</si>
  <si>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</si>
  <si>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</si>
  <si>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</si>
  <si>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</si>
  <si>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</si>
  <si>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</si>
  <si>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</si>
  <si>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</si>
  <si>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</si>
  <si>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</si>
  <si>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</si>
  <si>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</si>
  <si>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</si>
  <si>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</si>
  <si>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</si>
  <si>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</si>
  <si>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</si>
  <si>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</si>
  <si>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</si>
  <si>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</si>
  <si>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</si>
  <si>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</si>
  <si>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</si>
  <si>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</si>
  <si>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</si>
  <si>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</si>
  <si>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</si>
  <si>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</si>
  <si>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</si>
  <si>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</si>
  <si>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</si>
  <si>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</si>
  <si>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</si>
  <si>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</si>
  <si>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</si>
  <si>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</si>
  <si>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</si>
  <si>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</si>
  <si>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</si>
  <si>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</si>
  <si>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</si>
  <si>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</si>
  <si>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</si>
  <si>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</si>
  <si>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</si>
  <si>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</si>
  <si>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</si>
  <si>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</si>
  <si>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</si>
  <si>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</si>
  <si>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</si>
  <si>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</si>
  <si>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</si>
  <si>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</si>
  <si>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</si>
  <si>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</si>
  <si>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</si>
  <si>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</si>
  <si>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</si>
  <si>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</si>
  <si>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</si>
  <si>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</si>
  <si>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</si>
  <si>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</si>
  <si>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</si>
  <si>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</si>
  <si>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</si>
  <si>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</si>
  <si>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</si>
  <si>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</si>
  <si>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</si>
  <si>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</si>
  <si>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</si>
  <si>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</si>
  <si>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</si>
  <si>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</si>
  <si>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</si>
  <si>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</si>
  <si>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</si>
  <si>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</si>
  <si>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</si>
  <si>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</si>
  <si>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</si>
  <si>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</si>
  <si>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</si>
  <si>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</si>
  <si>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</si>
  <si>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</si>
  <si>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</si>
  <si>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</si>
  <si>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</si>
  <si>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</si>
  <si>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</si>
  <si>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</si>
  <si>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</si>
  <si>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</si>
  <si>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</si>
  <si>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</si>
  <si>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</si>
  <si>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</si>
  <si>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</si>
  <si>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</si>
  <si>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</si>
  <si>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</si>
  <si>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</si>
  <si>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</si>
  <si>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</si>
  <si>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</si>
  <si>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</si>
  <si>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</si>
  <si>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</si>
  <si>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</si>
  <si>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</si>
  <si>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</si>
  <si>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</si>
  <si>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</si>
  <si>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</si>
  <si>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</si>
  <si>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</si>
  <si>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</si>
  <si>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</si>
  <si>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</si>
  <si>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</si>
  <si>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</si>
  <si>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</si>
  <si>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</si>
  <si>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</si>
  <si>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</si>
  <si>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</si>
  <si>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</si>
  <si>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</si>
  <si>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</si>
  <si>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</si>
  <si>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</si>
  <si>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</si>
  <si>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</si>
  <si>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</si>
  <si>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</si>
  <si>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</si>
  <si>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</si>
  <si>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</si>
  <si>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</si>
  <si>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</si>
  <si>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</si>
  <si>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</si>
  <si>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</si>
  <si>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</si>
  <si>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</si>
  <si>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</si>
  <si>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</si>
  <si>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</si>
  <si>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</si>
  <si>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</si>
  <si>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</si>
  <si>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</si>
  <si>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</si>
  <si>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</si>
  <si>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</si>
  <si>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</si>
  <si>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</si>
  <si>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</si>
  <si>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</si>
  <si>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</si>
  <si>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</si>
  <si>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</si>
  <si>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</si>
  <si>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</si>
  <si>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</si>
  <si>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</si>
  <si>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</si>
  <si>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</si>
  <si>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</si>
  <si>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</si>
  <si>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</si>
  <si>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</si>
  <si>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</si>
  <si>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</si>
  <si>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</si>
  <si>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</si>
  <si>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</si>
  <si>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</si>
  <si>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</si>
  <si>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</si>
  <si>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</si>
  <si>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</si>
  <si>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</si>
  <si>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</si>
  <si>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</si>
  <si>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</si>
  <si>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</si>
  <si>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</si>
  <si>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</si>
  <si>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</si>
  <si>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</si>
  <si>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</si>
  <si>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</si>
  <si>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</si>
  <si>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</si>
  <si>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</si>
  <si>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</si>
  <si>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</si>
  <si>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</si>
  <si>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</si>
  <si>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</si>
  <si>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</si>
  <si>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</si>
  <si>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</si>
  <si>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</si>
  <si>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</si>
  <si>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</si>
  <si>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</si>
  <si>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</si>
  <si>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</si>
  <si>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</si>
  <si>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</si>
  <si>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</si>
  <si>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</si>
  <si>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</si>
  <si>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</si>
  <si>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</si>
  <si>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</si>
  <si>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</si>
  <si>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</si>
  <si>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</si>
  <si>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</si>
  <si>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</si>
  <si>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</si>
  <si>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</si>
  <si>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</si>
  <si>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</si>
  <si>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</si>
  <si>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</si>
  <si>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</si>
  <si>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</si>
  <si>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</si>
  <si>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</si>
  <si>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</si>
  <si>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</si>
  <si>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</si>
  <si>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</si>
  <si>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</si>
  <si>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</si>
  <si>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</si>
  <si>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</si>
  <si>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</si>
  <si>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</si>
  <si>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</si>
  <si>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</si>
  <si>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</si>
  <si>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</si>
  <si>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</si>
  <si>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</si>
  <si>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</si>
  <si>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</si>
  <si>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</si>
  <si>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</si>
  <si>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</si>
  <si>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</si>
  <si>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</si>
  <si>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</si>
  <si>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</si>
  <si>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</si>
  <si>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</si>
  <si>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</si>
  <si>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</si>
  <si>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</si>
  <si>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</si>
  <si>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</si>
  <si>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</si>
  <si>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</si>
  <si>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</si>
  <si>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</si>
  <si>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</si>
  <si>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Dif_Oreder_Delivery</t>
  </si>
  <si>
    <t>Hour (Delevery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</si>
  <si>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</si>
  <si>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</si>
  <si>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</si>
  <si>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</si>
  <si>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</si>
  <si>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</si>
  <si>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</si>
  <si>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</si>
  <si>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</si>
  <si>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</si>
  <si>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</si>
  <si>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</si>
  <si>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</si>
  <si>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</si>
  <si>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</si>
  <si>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</si>
  <si>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</si>
  <si>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</si>
  <si>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</si>
  <si>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</si>
  <si>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</si>
  <si>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</si>
  <si>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</si>
  <si>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</si>
  <si>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</si>
  <si>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</si>
  <si>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</si>
  <si>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</si>
  <si>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</si>
  <si>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</si>
  <si>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</si>
  <si>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</si>
  <si>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</si>
  <si>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</si>
  <si>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</si>
  <si>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</si>
  <si>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</si>
  <si>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</si>
  <si>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</si>
  <si>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</si>
  <si>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</si>
  <si>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</si>
  <si>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</si>
  <si>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</si>
  <si>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</si>
  <si>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</si>
  <si>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</si>
  <si>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</si>
  <si>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</si>
  <si>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</si>
  <si>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</si>
  <si>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</si>
  <si>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</si>
  <si>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</si>
  <si>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</si>
  <si>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</si>
  <si>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</si>
  <si>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</si>
  <si>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</si>
  <si>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</si>
  <si>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</si>
  <si>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</si>
  <si>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</si>
  <si>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</si>
  <si>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</si>
  <si>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</si>
  <si>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</si>
  <si>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</si>
  <si>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</si>
  <si>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</si>
  <si>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</si>
  <si>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</si>
  <si>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</si>
  <si>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</si>
  <si>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</si>
  <si>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</si>
  <si>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</si>
  <si>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</si>
  <si>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</si>
  <si>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</si>
  <si>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</si>
  <si>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</si>
  <si>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</si>
  <si>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</si>
  <si>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</si>
  <si>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</si>
  <si>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</si>
  <si>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</si>
  <si>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</si>
  <si>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</si>
  <si>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</si>
  <si>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</si>
  <si>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</si>
  <si>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</si>
  <si>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</si>
  <si>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</si>
  <si>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</si>
  <si>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</si>
  <si>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</si>
  <si>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</si>
  <si>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</si>
  <si>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</si>
  <si>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</si>
  <si>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</si>
  <si>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</si>
  <si>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</si>
  <si>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</si>
  <si>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</si>
  <si>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</si>
  <si>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</si>
  <si>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</si>
  <si>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</si>
  <si>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</si>
  <si>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</si>
  <si>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</si>
  <si>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</si>
  <si>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</si>
  <si>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</si>
  <si>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</si>
  <si>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</si>
  <si>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</si>
  <si>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</si>
  <si>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</si>
  <si>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</si>
  <si>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</si>
  <si>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</si>
  <si>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</si>
  <si>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</si>
  <si>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</si>
  <si>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</si>
  <si>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</si>
  <si>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</si>
  <si>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</si>
  <si>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</si>
  <si>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</si>
  <si>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</si>
  <si>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</si>
  <si>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</si>
  <si>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</si>
  <si>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</si>
  <si>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</si>
  <si>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</si>
  <si>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</si>
  <si>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</si>
  <si>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</si>
  <si>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</si>
  <si>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</si>
  <si>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</si>
  <si>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</si>
  <si>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</si>
  <si>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</si>
  <si>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</si>
  <si>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</si>
  <si>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</si>
  <si>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</si>
  <si>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</si>
  <si>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</si>
  <si>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</si>
  <si>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</si>
  <si>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</si>
  <si>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</si>
  <si>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</si>
  <si>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</si>
  <si>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</si>
  <si>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</si>
  <si>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</si>
  <si>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</si>
  <si>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</si>
  <si>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</si>
  <si>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</si>
  <si>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</si>
  <si>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</si>
  <si>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</si>
  <si>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</si>
  <si>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</si>
  <si>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</si>
  <si>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</si>
  <si>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</si>
  <si>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</si>
  <si>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</si>
  <si>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</si>
  <si>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</si>
  <si>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</si>
  <si>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</si>
  <si>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</si>
  <si>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</si>
  <si>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</si>
  <si>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</si>
  <si>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</si>
  <si>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</si>
  <si>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</si>
  <si>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</si>
  <si>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</si>
  <si>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</si>
  <si>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</si>
  <si>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</si>
  <si>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</si>
  <si>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</si>
  <si>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</si>
  <si>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</si>
  <si>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</si>
  <si>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</si>
  <si>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</si>
  <si>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</si>
  <si>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</si>
  <si>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</si>
  <si>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</si>
  <si>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</si>
  <si>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</si>
  <si>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</si>
  <si>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</si>
  <si>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</si>
  <si>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</si>
  <si>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</si>
  <si>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</si>
  <si>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</si>
  <si>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</si>
  <si>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</si>
  <si>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</si>
  <si>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</si>
  <si>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</si>
  <si>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</si>
  <si>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</si>
  <si>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</si>
  <si>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</si>
  <si>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</si>
  <si>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</si>
  <si>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</si>
  <si>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</si>
  <si>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</si>
  <si>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</si>
  <si>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</si>
  <si>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</si>
  <si>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</si>
  <si>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</si>
  <si>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</si>
  <si>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</si>
  <si>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</si>
  <si>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</si>
  <si>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</si>
  <si>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</si>
  <si>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</si>
  <si>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</si>
  <si>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</si>
  <si>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</si>
  <si>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</si>
  <si>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</si>
  <si>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</si>
  <si>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</si>
  <si>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</si>
  <si>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</si>
  <si>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</si>
  <si>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</si>
  <si>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</si>
  <si>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</si>
  <si>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</si>
  <si>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</si>
  <si>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</si>
  <si>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</si>
  <si>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</si>
  <si>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</si>
  <si>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</si>
  <si>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</si>
  <si>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</si>
  <si>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</si>
  <si>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</si>
  <si>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</si>
  <si>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</si>
  <si>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</si>
  <si>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</si>
  <si>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</si>
  <si>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</si>
  <si>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</si>
  <si>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</si>
  <si>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</si>
  <si>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</si>
  <si>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</si>
  <si>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</si>
  <si>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</si>
  <si>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</si>
  <si>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</si>
  <si>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</si>
  <si>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</si>
  <si>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</si>
  <si>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</si>
  <si>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</si>
  <si>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</si>
  <si>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</si>
  <si>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</si>
  <si>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</si>
  <si>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</si>
  <si>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</si>
  <si>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</si>
  <si>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</si>
  <si>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</si>
  <si>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</si>
  <si>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</si>
  <si>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</si>
  <si>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</si>
  <si>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</si>
  <si>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</si>
  <si>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</si>
  <si>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</si>
  <si>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</si>
  <si>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</si>
  <si>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</si>
  <si>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</si>
  <si>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</si>
  <si>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</si>
  <si>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</si>
  <si>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</si>
  <si>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</si>
  <si>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</si>
  <si>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</si>
  <si>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</si>
  <si>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</si>
  <si>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</si>
  <si>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</si>
  <si>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</si>
  <si>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</si>
  <si>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</si>
  <si>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</si>
  <si>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</si>
  <si>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</si>
  <si>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</si>
  <si>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</si>
  <si>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</si>
  <si>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</si>
  <si>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</si>
  <si>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</si>
  <si>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</si>
  <si>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</si>
  <si>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</si>
  <si>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</si>
  <si>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</si>
  <si>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</si>
  <si>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</si>
  <si>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</si>
  <si>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</si>
  <si>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</si>
  <si>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</si>
  <si>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</si>
  <si>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</si>
  <si>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</si>
  <si>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</si>
  <si>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</si>
  <si>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</si>
  <si>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</si>
  <si>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</si>
  <si>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</si>
  <si>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</si>
  <si>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</si>
  <si>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</si>
  <si>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</si>
  <si>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</si>
  <si>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</si>
  <si>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</si>
  <si>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</si>
  <si>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</si>
  <si>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</si>
  <si>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</si>
  <si>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</si>
  <si>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</si>
  <si>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</si>
  <si>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</si>
  <si>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</si>
  <si>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</si>
  <si>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</si>
  <si>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</si>
  <si>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</si>
  <si>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</si>
  <si>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</si>
  <si>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</si>
  <si>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</si>
  <si>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</si>
  <si>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</si>
  <si>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</si>
  <si>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</si>
  <si>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</si>
  <si>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</si>
  <si>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</si>
  <si>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</si>
  <si>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</si>
  <si>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</si>
  <si>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</si>
  <si>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</si>
  <si>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</si>
  <si>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</si>
  <si>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Name(Oredr Date)</t>
  </si>
  <si>
    <t>Saturday</t>
  </si>
  <si>
    <t>Wednesday</t>
  </si>
  <si>
    <t>Friday</t>
  </si>
  <si>
    <t>Sunday</t>
  </si>
  <si>
    <t>Monday</t>
  </si>
  <si>
    <t>Tuesday</t>
  </si>
  <si>
    <t>Thursday</t>
  </si>
  <si>
    <t>Sum of Revenue</t>
  </si>
  <si>
    <t>Average of Dif_Oreder_Delivery</t>
  </si>
  <si>
    <t>Average of Customer Spending</t>
  </si>
  <si>
    <t>Count of Order_ID</t>
  </si>
  <si>
    <t>Strongly negative = -1</t>
  </si>
  <si>
    <t>Strongly positive = 1</t>
  </si>
  <si>
    <t>Neutral = near zero</t>
  </si>
  <si>
    <t>Total Orders Placed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</si>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</sst>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20" Type="http://schemas.openxmlformats.org/officeDocument/2006/relationships/theme" Target="theme/them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Sheet1!$H$8</c:f>
              <c:strCache>
                <c:ptCount val="1"/>
                <c:pt idx="0">
                  <c:v>Total</c:v>
                </c:pt>
              </c:strCache>
            </c:strRef>
          </c:tx>
          <c:spPr>
            <a:solidFill>
              <a:schemeClr val="accent1"/>
            </a:solidFill>
            <a:ln>
              <a:noFill/>
            </a:ln>
            <a:effectLst/>
          </c:spPr>
          <c:invertIfNegative val="0"/>
          <c:cat>
            <c:strRef>
              <c:f>Sheet1!$G$9:$G$16</c:f>
              <c:strCache>
                <c:ptCount val="7"/>
                <c:pt idx="0">
                  <c:v>All Occasions</c:v>
                </c:pt>
                <c:pt idx="1">
                  <c:v>Anniversary</c:v>
                </c:pt>
                <c:pt idx="2">
                  <c:v>Birthday</c:v>
                </c:pt>
                <c:pt idx="3">
                  <c:v>Diwali</c:v>
                </c:pt>
                <c:pt idx="4">
                  <c:v>Holi</c:v>
                </c:pt>
                <c:pt idx="5">
                  <c:v>Raksha Bandhan</c:v>
                </c:pt>
                <c:pt idx="6">
                  <c:v>Valentine's Day</c:v>
                </c:pt>
              </c:strCache>
            </c:strRef>
          </c:cat>
          <c:val>
            <c:numRef>
              <c:f>Sheet1!$H$9:$H$16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9193-4A31-B7C5-D41FF6EB641E}"/>
            </c:ext>
          </c:extLst>
        </c:ser>
        <c:dLbls>
          <c:showLegendKey val="0"/>
          <c:showVal val="0"/>
          <c:showCatName val="0"/>
          <c:showSerName val="0"/>
          <c:showPercent val="0"/>
          <c:showBubbleSize val="0"/>
        </c:dLbls>
        <c:gapWidth val="219"/>
        <c:overlap val="-27"/>
        <c:axId val="913015583"/>
        <c:axId val="545943631"/>
      </c:barChart>
      <c:catAx>
        <c:axId val="913015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943631"/>
        <c:crosses val="autoZero"/>
        <c:auto val="1"/>
        <c:lblAlgn val="ctr"/>
        <c:lblOffset val="100"/>
        <c:noMultiLvlLbl val="0"/>
      </c:catAx>
      <c:valAx>
        <c:axId val="5459436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01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Sheet1!$B$18</c:f>
              <c:strCache>
                <c:ptCount val="1"/>
                <c:pt idx="0">
                  <c:v>Total</c:v>
                </c:pt>
              </c:strCache>
            </c:strRef>
          </c:tx>
          <c:spPr>
            <a:solidFill>
              <a:schemeClr val="accent1"/>
            </a:solidFill>
            <a:ln>
              <a:noFill/>
            </a:ln>
            <a:effectLst/>
          </c:spPr>
          <c:invertIfNegative val="0"/>
          <c:cat>
            <c:strRef>
              <c:f>Sheet1!$A$19:$A$26</c:f>
              <c:strCache>
                <c:ptCount val="7"/>
                <c:pt idx="0">
                  <c:v>Cake</c:v>
                </c:pt>
                <c:pt idx="1">
                  <c:v>Colors</c:v>
                </c:pt>
                <c:pt idx="2">
                  <c:v>Mugs</c:v>
                </c:pt>
                <c:pt idx="3">
                  <c:v>Plants</c:v>
                </c:pt>
                <c:pt idx="4">
                  <c:v>Raksha Bandhan</c:v>
                </c:pt>
                <c:pt idx="5">
                  <c:v>Soft Toys</c:v>
                </c:pt>
                <c:pt idx="6">
                  <c:v>Sweets</c:v>
                </c:pt>
              </c:strCache>
            </c:strRef>
          </c:cat>
          <c:val>
            <c:numRef>
              <c:f>Sheet1!$B$19:$B$26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777-49CF-A634-9BB9C2D6846B}"/>
            </c:ext>
          </c:extLst>
        </c:ser>
        <c:dLbls>
          <c:showLegendKey val="0"/>
          <c:showVal val="0"/>
          <c:showCatName val="0"/>
          <c:showSerName val="0"/>
          <c:showPercent val="0"/>
          <c:showBubbleSize val="0"/>
        </c:dLbls>
        <c:gapWidth val="219"/>
        <c:overlap val="-27"/>
        <c:axId val="907012111"/>
        <c:axId val="545968591"/>
      </c:barChart>
      <c:catAx>
        <c:axId val="907012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968591"/>
        <c:crosses val="autoZero"/>
        <c:auto val="1"/>
        <c:lblAlgn val="ctr"/>
        <c:lblOffset val="100"/>
        <c:noMultiLvlLbl val="0"/>
      </c:catAx>
      <c:valAx>
        <c:axId val="5459685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01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 by Month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2CA8-422C-91B3-437048EF75AA}"/>
            </c:ext>
          </c:extLst>
        </c:ser>
        <c:dLbls>
          <c:showLegendKey val="0"/>
          <c:showVal val="0"/>
          <c:showCatName val="0"/>
          <c:showSerName val="0"/>
          <c:showPercent val="0"/>
          <c:showBubbleSize val="0"/>
        </c:dLbls>
        <c:smooth val="0"/>
        <c:axId val="2013198831"/>
        <c:axId val="545964271"/>
      </c:lineChart>
      <c:catAx>
        <c:axId val="201319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964271"/>
        <c:crosses val="autoZero"/>
        <c:auto val="1"/>
        <c:lblAlgn val="ctr"/>
        <c:lblOffset val="100"/>
        <c:noMultiLvlLbl val="0"/>
      </c:catAx>
      <c:valAx>
        <c:axId val="545964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19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Sheet1!$E$7</c:f>
              <c:strCache>
                <c:ptCount val="1"/>
                <c:pt idx="0">
                  <c:v>Total</c:v>
                </c:pt>
              </c:strCache>
            </c:strRef>
          </c:tx>
          <c:spPr>
            <a:solidFill>
              <a:schemeClr val="accent1"/>
            </a:solidFill>
            <a:ln>
              <a:noFill/>
            </a:ln>
            <a:effectLst/>
          </c:spPr>
          <c:invertIfNegative val="0"/>
          <c:cat>
            <c:strRef>
              <c:f>Sheet1!$D$8:$D$13</c:f>
              <c:strCache>
                <c:ptCount val="5"/>
                <c:pt idx="0">
                  <c:v>Deserunt Box</c:v>
                </c:pt>
                <c:pt idx="1">
                  <c:v>Dolores Gift</c:v>
                </c:pt>
                <c:pt idx="2">
                  <c:v>Harum Pack</c:v>
                </c:pt>
                <c:pt idx="3">
                  <c:v>Magnam Set</c:v>
                </c:pt>
                <c:pt idx="4">
                  <c:v>Quia Gift</c:v>
                </c:pt>
              </c:strCache>
            </c:strRef>
          </c:cat>
          <c:val>
            <c:numRef>
              <c:f>Sheet1!$E$8:$E$13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4916-4C53-8AB4-CAC2072A3A2C}"/>
            </c:ext>
          </c:extLst>
        </c:ser>
        <c:dLbls>
          <c:showLegendKey val="0"/>
          <c:showVal val="0"/>
          <c:showCatName val="0"/>
          <c:showSerName val="0"/>
          <c:showPercent val="0"/>
          <c:showBubbleSize val="0"/>
        </c:dLbls>
        <c:gapWidth val="219"/>
        <c:overlap val="-27"/>
        <c:axId val="913062911"/>
        <c:axId val="422584943"/>
      </c:barChart>
      <c:catAx>
        <c:axId val="91306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584943"/>
        <c:crosses val="autoZero"/>
        <c:auto val="1"/>
        <c:lblAlgn val="ctr"/>
        <c:lblOffset val="100"/>
        <c:noMultiLvlLbl val="0"/>
      </c:catAx>
      <c:valAx>
        <c:axId val="422584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06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Sheet1!$E$17</c:f>
              <c:strCache>
                <c:ptCount val="1"/>
                <c:pt idx="0">
                  <c:v>Total</c:v>
                </c:pt>
              </c:strCache>
            </c:strRef>
          </c:tx>
          <c:spPr>
            <a:solidFill>
              <a:schemeClr val="accent1"/>
            </a:solidFill>
            <a:ln>
              <a:noFill/>
            </a:ln>
            <a:effectLst/>
          </c:spPr>
          <c:invertIfNegative val="0"/>
          <c:cat>
            <c:strRef>
              <c:f>Sheet1!$D$18:$D$28</c:f>
              <c:strCache>
                <c:ptCount val="10"/>
                <c:pt idx="0">
                  <c:v>Imphal</c:v>
                </c:pt>
                <c:pt idx="1">
                  <c:v>Dhanbad</c:v>
                </c:pt>
                <c:pt idx="2">
                  <c:v>Kavali</c:v>
                </c:pt>
                <c:pt idx="3">
                  <c:v>Haridwar</c:v>
                </c:pt>
                <c:pt idx="4">
                  <c:v>Bidhannagar</c:v>
                </c:pt>
                <c:pt idx="5">
                  <c:v>Dibrugarh</c:v>
                </c:pt>
                <c:pt idx="6">
                  <c:v>North Dumdum</c:v>
                </c:pt>
                <c:pt idx="7">
                  <c:v>Bhatpara</c:v>
                </c:pt>
                <c:pt idx="8">
                  <c:v>Agra</c:v>
                </c:pt>
                <c:pt idx="9">
                  <c:v>Machilipatnam</c:v>
                </c:pt>
              </c:strCache>
            </c:strRef>
          </c:cat>
          <c:val>
            <c:numRef>
              <c:f>Sheet1!$E$18:$E$28</c:f>
              <c:numCache>
                <c:formatCode>General</c:formatCode>
                <c:ptCount val="10"/>
                <c:pt idx="0">
                  <c:v>29</c:v>
                </c:pt>
                <c:pt idx="1">
                  <c:v>28</c:v>
                </c:pt>
                <c:pt idx="2">
                  <c:v>27</c:v>
                </c:pt>
                <c:pt idx="3">
                  <c:v>24</c:v>
                </c:pt>
                <c:pt idx="4">
                  <c:v>21</c:v>
                </c:pt>
                <c:pt idx="5">
                  <c:v>21</c:v>
                </c:pt>
                <c:pt idx="6">
                  <c:v>19</c:v>
                </c:pt>
                <c:pt idx="7">
                  <c:v>18</c:v>
                </c:pt>
                <c:pt idx="8">
                  <c:v>17</c:v>
                </c:pt>
                <c:pt idx="9">
                  <c:v>16</c:v>
                </c:pt>
              </c:numCache>
            </c:numRef>
          </c:val>
          <c:extLst>
            <c:ext xmlns:c16="http://schemas.microsoft.com/office/drawing/2014/chart" uri="{C3380CC4-5D6E-409C-BE32-E72D297353CC}">
              <c16:uniqueId val="{00000000-A8B1-41CF-9628-B1CB64B66D9A}"/>
            </c:ext>
          </c:extLst>
        </c:ser>
        <c:dLbls>
          <c:showLegendKey val="0"/>
          <c:showVal val="0"/>
          <c:showCatName val="0"/>
          <c:showSerName val="0"/>
          <c:showPercent val="0"/>
          <c:showBubbleSize val="0"/>
        </c:dLbls>
        <c:gapWidth val="219"/>
        <c:overlap val="-27"/>
        <c:axId val="899669887"/>
        <c:axId val="545857231"/>
      </c:barChart>
      <c:catAx>
        <c:axId val="89966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857231"/>
        <c:crosses val="autoZero"/>
        <c:auto val="1"/>
        <c:lblAlgn val="ctr"/>
        <c:lblOffset val="100"/>
        <c:noMultiLvlLbl val="0"/>
      </c:catAx>
      <c:valAx>
        <c:axId val="54585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66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a:t>
            </a:r>
            <a:r>
              <a:rPr lang="en-US" baseline="0"/>
              <a:t>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Sheet1!$H$18</c:f>
              <c:strCache>
                <c:ptCount val="1"/>
                <c:pt idx="0">
                  <c:v>Total</c:v>
                </c:pt>
              </c:strCache>
            </c:strRef>
          </c:tx>
          <c:spPr>
            <a:solidFill>
              <a:schemeClr val="accent1"/>
            </a:solidFill>
            <a:ln>
              <a:noFill/>
            </a:ln>
            <a:effectLst/>
          </c:spPr>
          <c:invertIfNegative val="0"/>
          <c:cat>
            <c:strRef>
              <c:f>Sheet1!$G$19:$G$26</c:f>
              <c:strCache>
                <c:ptCount val="7"/>
                <c:pt idx="0">
                  <c:v>Sunday</c:v>
                </c:pt>
                <c:pt idx="1">
                  <c:v>Monday</c:v>
                </c:pt>
                <c:pt idx="2">
                  <c:v>Tuesday</c:v>
                </c:pt>
                <c:pt idx="3">
                  <c:v>Wednesday</c:v>
                </c:pt>
                <c:pt idx="4">
                  <c:v>Thursday</c:v>
                </c:pt>
                <c:pt idx="5">
                  <c:v>Friday</c:v>
                </c:pt>
                <c:pt idx="6">
                  <c:v>Saturday</c:v>
                </c:pt>
              </c:strCache>
            </c:strRef>
          </c:cat>
          <c:val>
            <c:numRef>
              <c:f>Sheet1!$H$19:$H$26</c:f>
              <c:numCache>
                <c:formatCode>"₹"\ #,##0.00;#,##0.00\ \-"₹";"₹"\ #,##0.00</c:formatCode>
                <c:ptCount val="7"/>
                <c:pt idx="0">
                  <c:v>628138</c:v>
                </c:pt>
                <c:pt idx="1">
                  <c:v>461670</c:v>
                </c:pt>
                <c:pt idx="2">
                  <c:v>677223</c:v>
                </c:pt>
                <c:pt idx="3">
                  <c:v>415192</c:v>
                </c:pt>
                <c:pt idx="4">
                  <c:v>418354</c:v>
                </c:pt>
                <c:pt idx="5">
                  <c:v>475447</c:v>
                </c:pt>
                <c:pt idx="6">
                  <c:v>444960</c:v>
                </c:pt>
              </c:numCache>
            </c:numRef>
          </c:val>
          <c:extLst>
            <c:ext xmlns:c16="http://schemas.microsoft.com/office/drawing/2014/chart" uri="{C3380CC4-5D6E-409C-BE32-E72D297353CC}">
              <c16:uniqueId val="{00000000-C486-418C-9DF5-B98B32D52F1F}"/>
            </c:ext>
          </c:extLst>
        </c:ser>
        <c:dLbls>
          <c:showLegendKey val="0"/>
          <c:showVal val="0"/>
          <c:showCatName val="0"/>
          <c:showSerName val="0"/>
          <c:showPercent val="0"/>
          <c:showBubbleSize val="0"/>
        </c:dLbls>
        <c:gapWidth val="182"/>
        <c:axId val="907006543"/>
        <c:axId val="2028829391"/>
      </c:barChart>
      <c:catAx>
        <c:axId val="90700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829391"/>
        <c:crosses val="autoZero"/>
        <c:auto val="1"/>
        <c:lblAlgn val="ctr"/>
        <c:lblOffset val="100"/>
        <c:noMultiLvlLbl val="0"/>
      </c:catAx>
      <c:valAx>
        <c:axId val="2028829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00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75967</xdr:colOff>
      <xdr:row>10</xdr:row>
      <xdr:rowOff>174337</xdr:rowOff>
    </xdr:from>
    <xdr:to>
      <xdr:col>7</xdr:col>
      <xdr:colOff>518717</xdr:colOff>
      <xdr:row>25</xdr:row>
      <xdr:rowOff>174336</xdr:rowOff>
    </xdr:to>
    <xdr:graphicFrame macro="">
      <xdr:nvGraphicFramePr>
        <xdr:cNvPr id="2" name="Chart 1">
          <a:extLst>
            <a:ext uri="{FF2B5EF4-FFF2-40B4-BE49-F238E27FC236}">
              <a16:creationId xmlns:a16="http://schemas.microsoft.com/office/drawing/2014/main" id="{94381D5F-E381-47B1-B612-84E3A1559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574109</xdr:colOff>
      <xdr:row>10</xdr:row>
      <xdr:rowOff>171905</xdr:rowOff>
    </xdr:from>
    <xdr:to>
      <xdr:col>15</xdr:col>
      <xdr:colOff>490603</xdr:colOff>
      <xdr:row>25</xdr:row>
      <xdr:rowOff>171905</xdr:rowOff>
    </xdr:to>
    <xdr:graphicFrame macro="">
      <xdr:nvGraphicFramePr>
        <xdr:cNvPr id="3" name="Chart 2">
          <a:extLst>
            <a:ext uri="{FF2B5EF4-FFF2-40B4-BE49-F238E27FC236}">
              <a16:creationId xmlns:a16="http://schemas.microsoft.com/office/drawing/2014/main" id="{6D2F91F6-91D3-423C-8139-7BEEBA4C3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86405</xdr:colOff>
      <xdr:row>26</xdr:row>
      <xdr:rowOff>77956</xdr:rowOff>
    </xdr:from>
    <xdr:to>
      <xdr:col>7</xdr:col>
      <xdr:colOff>529155</xdr:colOff>
      <xdr:row>41</xdr:row>
      <xdr:rowOff>135698</xdr:rowOff>
    </xdr:to>
    <xdr:graphicFrame macro="">
      <xdr:nvGraphicFramePr>
        <xdr:cNvPr id="4" name="Chart 3">
          <a:extLst>
            <a:ext uri="{FF2B5EF4-FFF2-40B4-BE49-F238E27FC236}">
              <a16:creationId xmlns:a16="http://schemas.microsoft.com/office/drawing/2014/main" id="{C4E1CD44-E9A7-4DEB-8E6F-EA3C3ACB1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587445</xdr:colOff>
      <xdr:row>26</xdr:row>
      <xdr:rowOff>67518</xdr:rowOff>
    </xdr:from>
    <xdr:to>
      <xdr:col>15</xdr:col>
      <xdr:colOff>490603</xdr:colOff>
      <xdr:row>41</xdr:row>
      <xdr:rowOff>113750</xdr:rowOff>
    </xdr:to>
    <xdr:graphicFrame macro="">
      <xdr:nvGraphicFramePr>
        <xdr:cNvPr id="5" name="Chart 4">
          <a:extLst>
            <a:ext uri="{FF2B5EF4-FFF2-40B4-BE49-F238E27FC236}">
              <a16:creationId xmlns:a16="http://schemas.microsoft.com/office/drawing/2014/main" id="{0B492D28-FE32-4087-A352-C20BBF757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527275</xdr:colOff>
      <xdr:row>10</xdr:row>
      <xdr:rowOff>182343</xdr:rowOff>
    </xdr:from>
    <xdr:to>
      <xdr:col>23</xdr:col>
      <xdr:colOff>390507</xdr:colOff>
      <xdr:row>25</xdr:row>
      <xdr:rowOff>161746</xdr:rowOff>
    </xdr:to>
    <xdr:graphicFrame macro="">
      <xdr:nvGraphicFramePr>
        <xdr:cNvPr id="6" name="Chart 5">
          <a:extLst>
            <a:ext uri="{FF2B5EF4-FFF2-40B4-BE49-F238E27FC236}">
              <a16:creationId xmlns:a16="http://schemas.microsoft.com/office/drawing/2014/main" id="{A804F098-44BD-426D-953B-CCEBC29C5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544403</xdr:colOff>
      <xdr:row>26</xdr:row>
      <xdr:rowOff>57080</xdr:rowOff>
    </xdr:from>
    <xdr:to>
      <xdr:col>23</xdr:col>
      <xdr:colOff>399064</xdr:colOff>
      <xdr:row>41</xdr:row>
      <xdr:rowOff>103312</xdr:rowOff>
    </xdr:to>
    <xdr:graphicFrame macro="">
      <xdr:nvGraphicFramePr>
        <xdr:cNvPr id="7" name="Chart 6">
          <a:extLst>
            <a:ext uri="{FF2B5EF4-FFF2-40B4-BE49-F238E27FC236}">
              <a16:creationId xmlns:a16="http://schemas.microsoft.com/office/drawing/2014/main" id="{C93E437F-065D-4209-80AA-C504C6CF0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403677</xdr:colOff>
      <xdr:row>5</xdr:row>
      <xdr:rowOff>76939</xdr:rowOff>
    </xdr:from>
    <xdr:to>
      <xdr:col>9</xdr:col>
      <xdr:colOff>135695</xdr:colOff>
      <xdr:row>10</xdr:row>
      <xdr:rowOff>94066</xdr:rowOff>
    </xdr:to>
    <xdr:sp macro="" textlink="Sheet1!D3">
      <xdr:nvSpPr>
        <xdr:cNvPr id="9" name="Rectangle: Rounded Corners 8">
          <a:extLst>
            <a:ext uri="{FF2B5EF4-FFF2-40B4-BE49-F238E27FC236}">
              <a16:creationId xmlns:a16="http://schemas.microsoft.com/office/drawing/2014/main" id="{D52837BA-2097-4B13-8FA3-AEC56FD934A8}"/>
            </a:ext>
          </a:extLst>
        </xdr:cNvPr>
        <xdr:cNvSpPr/>
      </xdr:nvSpPr>
      <xdr:spPr>
        <a:xfrm>
          <a:off x="2825376" y="1016391"/>
          <a:ext cx="2759141" cy="956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F1B0771-02EF-488F-ABD3-F9978CBC2869}" type="TxLink">
            <a:rPr lang="en-US" sz="1600" b="1" i="0" u="none" strike="noStrike">
              <a:solidFill>
                <a:srgbClr val="000000"/>
              </a:solidFill>
              <a:latin typeface="Calibri"/>
              <a:ea typeface="Calibri"/>
              <a:cs typeface="Calibri"/>
            </a:rPr>
            <a:pPr algn="ctr"/>
            <a:t>₹ 35,20,984.00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Revenue</a:t>
          </a:r>
          <a:endParaRPr lang="en-IN" sz="1600" b="1"/>
        </a:p>
      </xdr:txBody>
    </xdr:sp>
    <xdr:clientData/>
  </xdr:twoCellAnchor>
  <xdr:twoCellAnchor>
    <xdr:from>
      <xdr:col>9</xdr:col>
      <xdr:colOff>236974</xdr:colOff>
      <xdr:row>5</xdr:row>
      <xdr:rowOff>67294</xdr:rowOff>
    </xdr:from>
    <xdr:to>
      <xdr:col>14</xdr:col>
      <xdr:colOff>62627</xdr:colOff>
      <xdr:row>10</xdr:row>
      <xdr:rowOff>84421</xdr:rowOff>
    </xdr:to>
    <xdr:sp macro="" textlink="Sheet1!G3">
      <xdr:nvSpPr>
        <xdr:cNvPr id="10" name="Rectangle: Rounded Corners 9">
          <a:extLst>
            <a:ext uri="{FF2B5EF4-FFF2-40B4-BE49-F238E27FC236}">
              <a16:creationId xmlns:a16="http://schemas.microsoft.com/office/drawing/2014/main" id="{D75C9B0F-011D-49DC-934D-A929D448E575}"/>
            </a:ext>
          </a:extLst>
        </xdr:cNvPr>
        <xdr:cNvSpPr/>
      </xdr:nvSpPr>
      <xdr:spPr>
        <a:xfrm>
          <a:off x="5685796" y="1006746"/>
          <a:ext cx="2852776" cy="956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F855C83-A4E4-4ECD-97EF-E85058DB1F07}" type="TxLink">
            <a:rPr lang="en-US" sz="1600" b="1" i="0" u="none" strike="noStrike">
              <a:solidFill>
                <a:srgbClr val="000000"/>
              </a:solidFill>
              <a:latin typeface="Calibri"/>
              <a:ea typeface="Calibri"/>
              <a:cs typeface="Calibri"/>
            </a:rPr>
            <a:pPr algn="ctr"/>
            <a:t>1000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Orders</a:t>
          </a:r>
          <a:endParaRPr lang="en-IN" sz="1600" b="1"/>
        </a:p>
      </xdr:txBody>
    </xdr:sp>
    <xdr:clientData/>
  </xdr:twoCellAnchor>
  <xdr:twoCellAnchor>
    <xdr:from>
      <xdr:col>14</xdr:col>
      <xdr:colOff>187891</xdr:colOff>
      <xdr:row>5</xdr:row>
      <xdr:rowOff>37561</xdr:rowOff>
    </xdr:from>
    <xdr:to>
      <xdr:col>18</xdr:col>
      <xdr:colOff>470265</xdr:colOff>
      <xdr:row>10</xdr:row>
      <xdr:rowOff>54688</xdr:rowOff>
    </xdr:to>
    <xdr:sp macro="" textlink="Sheet1!E3">
      <xdr:nvSpPr>
        <xdr:cNvPr id="11" name="Rectangle: Rounded Corners 10">
          <a:extLst>
            <a:ext uri="{FF2B5EF4-FFF2-40B4-BE49-F238E27FC236}">
              <a16:creationId xmlns:a16="http://schemas.microsoft.com/office/drawing/2014/main" id="{5F01CC76-8537-4292-A3AA-B1A0AD542F41}"/>
            </a:ext>
          </a:extLst>
        </xdr:cNvPr>
        <xdr:cNvSpPr/>
      </xdr:nvSpPr>
      <xdr:spPr>
        <a:xfrm>
          <a:off x="8663836" y="977013"/>
          <a:ext cx="2704073" cy="956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A380117-A44B-4A64-8924-8AEC4518ABEE}" type="TxLink">
            <a:rPr lang="en-US" sz="1600" b="1" i="0" u="none" strike="noStrike">
              <a:solidFill>
                <a:srgbClr val="000000"/>
              </a:solidFill>
              <a:latin typeface="Calibri"/>
              <a:ea typeface="Calibri"/>
              <a:cs typeface="Calibri"/>
            </a:rPr>
            <a:pPr algn="ctr"/>
            <a:t>5.53</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Order</a:t>
          </a:r>
          <a:r>
            <a:rPr lang="en-US" sz="1600" b="1" i="0" u="none" strike="noStrike" baseline="0">
              <a:solidFill>
                <a:srgbClr val="000000"/>
              </a:solidFill>
              <a:latin typeface="Calibri"/>
              <a:ea typeface="Calibri"/>
              <a:cs typeface="Calibri"/>
            </a:rPr>
            <a:t> - Delivery Time</a:t>
          </a:r>
          <a:endParaRPr lang="en-IN" sz="1600" b="1"/>
        </a:p>
      </xdr:txBody>
    </xdr:sp>
    <xdr:clientData/>
  </xdr:twoCellAnchor>
  <xdr:twoCellAnchor>
    <xdr:from>
      <xdr:col>18</xdr:col>
      <xdr:colOff>590612</xdr:colOff>
      <xdr:row>5</xdr:row>
      <xdr:rowOff>46919</xdr:rowOff>
    </xdr:from>
    <xdr:to>
      <xdr:col>23</xdr:col>
      <xdr:colOff>323590</xdr:colOff>
      <xdr:row>10</xdr:row>
      <xdr:rowOff>67515</xdr:rowOff>
    </xdr:to>
    <xdr:sp macro="" textlink="Sheet1!F3">
      <xdr:nvSpPr>
        <xdr:cNvPr id="12" name="Rectangle: Rounded Corners 11">
          <a:extLst>
            <a:ext uri="{FF2B5EF4-FFF2-40B4-BE49-F238E27FC236}">
              <a16:creationId xmlns:a16="http://schemas.microsoft.com/office/drawing/2014/main" id="{DD01491A-525E-42F0-B120-FF0B0A112529}"/>
            </a:ext>
          </a:extLst>
        </xdr:cNvPr>
        <xdr:cNvSpPr/>
      </xdr:nvSpPr>
      <xdr:spPr>
        <a:xfrm>
          <a:off x="11488256" y="986371"/>
          <a:ext cx="2760101" cy="9600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3B97A0C-574C-4FED-B83C-BCC719820ABB}" type="TxLink">
            <a:rPr lang="en-US" sz="1600" b="1" i="0" u="none" strike="noStrike">
              <a:solidFill>
                <a:srgbClr val="000000"/>
              </a:solidFill>
              <a:latin typeface="Calibri"/>
              <a:ea typeface="Calibri"/>
              <a:cs typeface="Calibri"/>
            </a:rPr>
            <a:pPr algn="ctr"/>
            <a:t>₹ 3,520.98</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Avg Customer Spending</a:t>
          </a:r>
          <a:endParaRPr lang="en-IN" sz="1600" b="1"/>
        </a:p>
      </xdr:txBody>
    </xdr:sp>
    <xdr:clientData/>
  </xdr:twoCellAnchor>
  <xdr:twoCellAnchor editAs="oneCell">
    <xdr:from>
      <xdr:col>23</xdr:col>
      <xdr:colOff>482471</xdr:colOff>
      <xdr:row>21</xdr:row>
      <xdr:rowOff>73068</xdr:rowOff>
    </xdr:from>
    <xdr:to>
      <xdr:col>27</xdr:col>
      <xdr:colOff>544772</xdr:colOff>
      <xdr:row>41</xdr:row>
      <xdr:rowOff>95260</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5F6BB936-1215-493F-8F29-084BA148A4E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594315" y="3813795"/>
              <a:ext cx="2516535" cy="3584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95275</xdr:colOff>
      <xdr:row>5</xdr:row>
      <xdr:rowOff>67513</xdr:rowOff>
    </xdr:from>
    <xdr:to>
      <xdr:col>4</xdr:col>
      <xdr:colOff>313150</xdr:colOff>
      <xdr:row>10</xdr:row>
      <xdr:rowOff>84640</xdr:rowOff>
    </xdr:to>
    <xdr:sp macro="" textlink="">
      <xdr:nvSpPr>
        <xdr:cNvPr id="14" name="Rectangle: Rounded Corners 13">
          <a:extLst>
            <a:ext uri="{FF2B5EF4-FFF2-40B4-BE49-F238E27FC236}">
              <a16:creationId xmlns:a16="http://schemas.microsoft.com/office/drawing/2014/main" id="{026158E8-8726-45C2-A0B4-958A51FC4DEE}"/>
            </a:ext>
          </a:extLst>
        </xdr:cNvPr>
        <xdr:cNvSpPr/>
      </xdr:nvSpPr>
      <xdr:spPr>
        <a:xfrm>
          <a:off x="95275" y="1006965"/>
          <a:ext cx="2639574" cy="956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000" b="1" i="0" u="none" strike="noStrike">
              <a:solidFill>
                <a:srgbClr val="000000"/>
              </a:solidFill>
              <a:latin typeface="Arial Black" panose="020B0A04020102020204" pitchFamily="34" charset="0"/>
              <a:ea typeface="Calibri"/>
              <a:cs typeface="Calibri"/>
            </a:rPr>
            <a:t>Sales</a:t>
          </a:r>
        </a:p>
        <a:p>
          <a:pPr algn="r"/>
          <a:r>
            <a:rPr lang="en-IN" sz="2000" b="1" i="0" u="none" strike="noStrike">
              <a:solidFill>
                <a:srgbClr val="000000"/>
              </a:solidFill>
              <a:latin typeface="Arial Black" panose="020B0A04020102020204" pitchFamily="34" charset="0"/>
              <a:ea typeface="Calibri"/>
              <a:cs typeface="Calibri"/>
            </a:rPr>
            <a:t>Analysis</a:t>
          </a:r>
        </a:p>
      </xdr:txBody>
    </xdr:sp>
    <xdr:clientData/>
  </xdr:twoCellAnchor>
  <xdr:twoCellAnchor editAs="oneCell">
    <xdr:from>
      <xdr:col>0</xdr:col>
      <xdr:colOff>162796</xdr:colOff>
      <xdr:row>5</xdr:row>
      <xdr:rowOff>152738</xdr:rowOff>
    </xdr:from>
    <xdr:to>
      <xdr:col>2</xdr:col>
      <xdr:colOff>95277</xdr:colOff>
      <xdr:row>9</xdr:row>
      <xdr:rowOff>143732</xdr:rowOff>
    </xdr:to>
    <xdr:pic>
      <xdr:nvPicPr>
        <xdr:cNvPr id="16" name="Picture 15">
          <a:extLst>
            <a:ext uri="{FF2B5EF4-FFF2-40B4-BE49-F238E27FC236}">
              <a16:creationId xmlns:a16="http://schemas.microsoft.com/office/drawing/2014/main" id="{FA3C6346-1966-435D-CE70-959ABF91CBA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2796" y="1092190"/>
          <a:ext cx="1143330" cy="742556"/>
        </a:xfrm>
        <a:prstGeom prst="rect">
          <a:avLst/>
        </a:prstGeom>
      </xdr:spPr>
    </xdr:pic>
    <xdr:clientData/>
  </xdr:twoCellAnchor>
  <xdr:twoCellAnchor editAs="oneCell">
    <xdr:from>
      <xdr:col>23</xdr:col>
      <xdr:colOff>479539</xdr:colOff>
      <xdr:row>5</xdr:row>
      <xdr:rowOff>62004</xdr:rowOff>
    </xdr:from>
    <xdr:to>
      <xdr:col>27</xdr:col>
      <xdr:colOff>541840</xdr:colOff>
      <xdr:row>12</xdr:row>
      <xdr:rowOff>146137</xdr:rowOff>
    </xdr:to>
    <mc:AlternateContent xmlns:mc="http://schemas.openxmlformats.org/markup-compatibility/2006" xmlns:tsle="http://schemas.microsoft.com/office/drawing/2012/timeslicer">
      <mc:Choice Requires="tsle">
        <xdr:graphicFrame macro="">
          <xdr:nvGraphicFramePr>
            <xdr:cNvPr id="8" name="Order_Date">
              <a:extLst>
                <a:ext uri="{FF2B5EF4-FFF2-40B4-BE49-F238E27FC236}">
                  <a16:creationId xmlns:a16="http://schemas.microsoft.com/office/drawing/2014/main" id="{ABC3B602-6514-D7EA-3094-B3EBA812F4A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591383" y="952653"/>
              <a:ext cx="2516535" cy="133104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479540</xdr:colOff>
      <xdr:row>13</xdr:row>
      <xdr:rowOff>26513</xdr:rowOff>
    </xdr:from>
    <xdr:to>
      <xdr:col>27</xdr:col>
      <xdr:colOff>541841</xdr:colOff>
      <xdr:row>21</xdr:row>
      <xdr:rowOff>10438</xdr:rowOff>
    </xdr:to>
    <mc:AlternateContent xmlns:mc="http://schemas.openxmlformats.org/markup-compatibility/2006" xmlns:tsle="http://schemas.microsoft.com/office/drawing/2012/timeslicer">
      <mc:Choice Requires="tsle">
        <xdr:graphicFrame macro="">
          <xdr:nvGraphicFramePr>
            <xdr:cNvPr id="31" name="Delivery_Date">
              <a:extLst>
                <a:ext uri="{FF2B5EF4-FFF2-40B4-BE49-F238E27FC236}">
                  <a16:creationId xmlns:a16="http://schemas.microsoft.com/office/drawing/2014/main" id="{0EE77D38-ED43-80C4-B7CE-1AF1CA8AF42C}"/>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591384" y="2342201"/>
              <a:ext cx="2516535" cy="14089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ipalli Madhu" refreshedDate="46273.47538217593" backgroundQuery="1" createdVersion="8" refreshedVersion="8" minRefreshableVersion="3" recordCount="0" supportSubquery="1" supportAdvancedDrill="1" xr:uid="{47C79BAA-8BA8-42B4-B136-65765CA6D459}">
  <cacheSource type="external" connectionId="9"/>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eder_Delivery]" caption="Dif_Oreder_Delivery" attribute="1" defaultMemberUniqueName="[Orders].[Dif_Oreder_Delivery].[All]" allUniqueName="[Orders].[Dif_Oreder_Delivery].[All]" dimensionUniqueName="[Orders]" displayFolder="" count="0" memberValueDatatype="20" unbalanced="0"/>
    <cacheHierarchy uniqueName="[Orders].[Hour (Delevery Time)]" caption="Hour (Delevery Time)" attribute="1" defaultMemberUniqueName="[Orders].[Hour (Delevery Time)].[All]" allUniqueName="[Orders].[Hour (Del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edr Date)]" caption="Day Name(Oredr Date)" attribute="1" defaultMemberUniqueName="[Orders].[Day Name(Oredr Date)].[All]" allUniqueName="[Orders].[Day Name(Ored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_Oreder_Delivery]" caption="Sum of Dif_Ore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_Oreder_Delivery]" caption="Average of Dif_Ore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ipalli Madhu" refreshedDate="46273.476017476853" backgroundQuery="1" createdVersion="8" refreshedVersion="8" minRefreshableVersion="3" recordCount="0" supportSubquery="1" supportAdvancedDrill="1" xr:uid="{E6EF0D9F-8EDE-46C9-A41B-E339BAB35D2C}">
  <cacheSource type="external" connectionId="9"/>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Content]" caption="Content" attribute="1" defaultMemberUniqueName="[Dataset].[Content].[All]" allUniqueName="[Dataset].[Content].[All]" dimensionUniqueName="[Dataset]" displayFolder="" count="2" memberValueDatatype="130" unbalanced="0"/>
    <cacheHierarchy uniqueName="[Dataset].[Name]" caption="Name" attribute="1" defaultMemberUniqueName="[Dataset].[Name].[All]" allUniqueName="[Dataset].[Name].[All]" dimensionUniqueName="[Dataset]" displayFolder="" count="2" memberValueDatatype="130" unbalanced="0"/>
    <cacheHierarchy uniqueName="[Dataset].[Extension]" caption="Extension" attribute="1" defaultMemberUniqueName="[Dataset].[Extension].[All]" allUniqueName="[Dataset].[Extension].[All]" dimensionUniqueName="[Dataset]" displayFolder="" count="2" memberValueDatatype="130" unbalanced="0"/>
    <cacheHierarchy uniqueName="[Dataset].[Date accessed]" caption="Date accessed" attribute="1" time="1" defaultMemberUniqueName="[Dataset].[Date accessed].[All]" allUniqueName="[Dataset].[Date accessed].[All]" dimensionUniqueName="[Dataset]" displayFolder="" count="2" memberValueDatatype="7" unbalanced="0"/>
    <cacheHierarchy uniqueName="[Dataset].[Date modified]" caption="Date modified" attribute="1" time="1" defaultMemberUniqueName="[Dataset].[Date modified].[All]" allUniqueName="[Dataset].[Date modified].[All]" dimensionUniqueName="[Dataset]" displayFolder="" count="2" memberValueDatatype="7" unbalanced="0"/>
    <cacheHierarchy uniqueName="[Dataset].[Date created]" caption="Date created" attribute="1" time="1" defaultMemberUniqueName="[Dataset].[Date created].[All]" allUniqueName="[Dataset].[Date created].[All]" dimensionUniqueName="[Dataset]" displayFolder="" count="2" memberValueDatatype="7" unbalanced="0"/>
    <cacheHierarchy uniqueName="[Dataset].[Folder Path]" caption="Folder Path" attribute="1" defaultMemberUniqueName="[Dataset].[Folder Path].[All]" allUniqueName="[Dataset].[Folder Path].[All]" dimensionUniqueName="[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_Oreder_Delivery]" caption="Dif_Oreder_Delivery" attribute="1" defaultMemberUniqueName="[Orders].[Dif_Oreder_Delivery].[All]" allUniqueName="[Orders].[Dif_Oreder_Delivery].[All]" dimensionUniqueName="[Orders]" displayFolder="" count="2" memberValueDatatype="20" unbalanced="0"/>
    <cacheHierarchy uniqueName="[Orders].[Hour (Delevery Time)]" caption="Hour (Delevery Time)" attribute="1" defaultMemberUniqueName="[Orders].[Hour (Delevery Time)].[All]" allUniqueName="[Orders].[Hour (Dele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edr Date)]" caption="Day Name(Oredr Date)" attribute="1" defaultMemberUniqueName="[Orders].[Day Name(Oredr Date)].[All]" allUniqueName="[Orders].[Day Name(Ored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_Oreder_Delivery]" caption="Sum of Dif_Ore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_Oreder_Delivery]" caption="Average of Dif_Ore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ipalli Madhu" refreshedDate="46273.476018055553" backgroundQuery="1" createdVersion="8" refreshedVersion="8" minRefreshableVersion="3" recordCount="0" supportSubquery="1" supportAdvancedDrill="1" xr:uid="{6A392F14-F3A3-4ABE-A3DA-8204B4D46811}">
  <cacheSource type="external" connectionId="9"/>
  <cacheFields count="5">
    <cacheField name="[Measures].[Sum of Revenue]" caption="Sum of Revenue" numFmtId="0" hierarchy="43" level="32767"/>
    <cacheField name="[Measures].[Average of Dif_Oreder_Delivery]" caption="Average of Dif_Oreder_Delivery" numFmtId="0" hierarchy="45" level="32767"/>
    <cacheField name="[Measures].[Average of Revenue]" caption="Average of Revenue" numFmtId="0" hierarchy="46" level="32767"/>
    <cacheField name="[Measures].[Count of Order_ID]" caption="Count of Order_ID" numFmtId="0" hierarchy="48"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eder_Delivery]" caption="Dif_Oreder_Delivery" attribute="1" defaultMemberUniqueName="[Orders].[Dif_Oreder_Delivery].[All]" allUniqueName="[Orders].[Dif_Oreder_Delivery].[All]" dimensionUniqueName="[Orders]" displayFolder="" count="0" memberValueDatatype="20" unbalanced="0"/>
    <cacheHierarchy uniqueName="[Orders].[Hour (Delevery Time)]" caption="Hour (Delevery Time)" attribute="1" defaultMemberUniqueName="[Orders].[Hour (Delevery Time)].[All]" allUniqueName="[Orders].[Hour (Del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edr Date)]" caption="Day Name(Oredr Date)" attribute="1" defaultMemberUniqueName="[Orders].[Day Name(Oredr Date)].[All]" allUniqueName="[Orders].[Day Name(Ored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_Oreder_Delivery]" caption="Sum of Dif_Ore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_Oreder_Delivery]" caption="Average of Dif_Ore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ipalli Madhu" refreshedDate="46273.476018402776" backgroundQuery="1" createdVersion="8" refreshedVersion="8" minRefreshableVersion="3" recordCount="0" supportSubquery="1" supportAdvancedDrill="1" xr:uid="{97DADEDC-C410-4E30-90CF-4036CE15AD1B}">
  <cacheSource type="external" connectionId="9"/>
  <cacheFields count="3">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Content]" caption="Content" attribute="1" defaultMemberUniqueName="[Dataset].[Content].[All]" allUniqueName="[Dataset].[Content].[All]" dimensionUniqueName="[Dataset]" displayFolder="" count="2" memberValueDatatype="130" unbalanced="0"/>
    <cacheHierarchy uniqueName="[Dataset].[Name]" caption="Name" attribute="1" defaultMemberUniqueName="[Dataset].[Name].[All]" allUniqueName="[Dataset].[Name].[All]" dimensionUniqueName="[Dataset]" displayFolder="" count="2" memberValueDatatype="130" unbalanced="0"/>
    <cacheHierarchy uniqueName="[Dataset].[Extension]" caption="Extension" attribute="1" defaultMemberUniqueName="[Dataset].[Extension].[All]" allUniqueName="[Dataset].[Extension].[All]" dimensionUniqueName="[Dataset]" displayFolder="" count="2" memberValueDatatype="130" unbalanced="0"/>
    <cacheHierarchy uniqueName="[Dataset].[Date accessed]" caption="Date accessed" attribute="1" time="1" defaultMemberUniqueName="[Dataset].[Date accessed].[All]" allUniqueName="[Dataset].[Date accessed].[All]" dimensionUniqueName="[Dataset]" displayFolder="" count="2" memberValueDatatype="7" unbalanced="0"/>
    <cacheHierarchy uniqueName="[Dataset].[Date modified]" caption="Date modified" attribute="1" time="1" defaultMemberUniqueName="[Dataset].[Date modified].[All]" allUniqueName="[Dataset].[Date modified].[All]" dimensionUniqueName="[Dataset]" displayFolder="" count="2" memberValueDatatype="7" unbalanced="0"/>
    <cacheHierarchy uniqueName="[Dataset].[Date created]" caption="Date created" attribute="1" time="1" defaultMemberUniqueName="[Dataset].[Date created].[All]" allUniqueName="[Dataset].[Date created].[All]" dimensionUniqueName="[Dataset]" displayFolder="" count="2" memberValueDatatype="7" unbalanced="0"/>
    <cacheHierarchy uniqueName="[Dataset].[Folder Path]" caption="Folder Path" attribute="1" defaultMemberUniqueName="[Dataset].[Folder Path].[All]" allUniqueName="[Dataset].[Folder Path].[All]" dimensionUniqueName="[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_Oreder_Delivery]" caption="Dif_Oreder_Delivery" attribute="1" defaultMemberUniqueName="[Orders].[Dif_Oreder_Delivery].[All]" allUniqueName="[Orders].[Dif_Oreder_Delivery].[All]" dimensionUniqueName="[Orders]" displayFolder="" count="2" memberValueDatatype="20" unbalanced="0"/>
    <cacheHierarchy uniqueName="[Orders].[Hour (Delevery Time)]" caption="Hour (Delevery Time)" attribute="1" defaultMemberUniqueName="[Orders].[Hour (Delevery Time)].[All]" allUniqueName="[Orders].[Hour (Dele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edr Date)]" caption="Day Name(Oredr Date)" attribute="1" defaultMemberUniqueName="[Orders].[Day Name(Oredr Date)].[All]" allUniqueName="[Orders].[Day Name(Ored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_Oreder_Delivery]" caption="Sum of Dif_Ore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_Oreder_Delivery]" caption="Average of Dif_Ore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ipalli Madhu" refreshedDate="46273.476018981484" backgroundQuery="1" createdVersion="8" refreshedVersion="8" minRefreshableVersion="3" recordCount="0" supportSubquery="1" supportAdvancedDrill="1" xr:uid="{A5F64BE6-6DAB-4859-BF80-D92315A42D0A}">
  <cacheSource type="external" connectionId="9"/>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eder_Delivery]" caption="Dif_Oreder_Delivery" attribute="1" defaultMemberUniqueName="[Orders].[Dif_Oreder_Delivery].[All]" allUniqueName="[Orders].[Dif_Oreder_Delivery].[All]" dimensionUniqueName="[Orders]" displayFolder="" count="0" memberValueDatatype="20" unbalanced="0"/>
    <cacheHierarchy uniqueName="[Orders].[Hour (Delevery Time)]" caption="Hour (Delevery Time)" attribute="1" defaultMemberUniqueName="[Orders].[Hour (Delevery Time)].[All]" allUniqueName="[Orders].[Hour (Del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edr Date)]" caption="Day Name(Oredr Date)" attribute="1" defaultMemberUniqueName="[Orders].[Day Name(Oredr Date)].[All]" allUniqueName="[Orders].[Day Name(Ored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_Oreder_Delivery]" caption="Sum of Dif_Ore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_Oreder_Delivery]" caption="Average of Dif_Ore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ipalli Madhu" refreshedDate="46273.4760193287" backgroundQuery="1" createdVersion="8" refreshedVersion="8" minRefreshableVersion="3" recordCount="0" supportSubquery="1" supportAdvancedDrill="1" xr:uid="{9379EB07-EF98-4A30-82F6-0BA1F123C3F9}">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Agra"/>
        <s v="Bhatpara"/>
        <s v="Bidhannagar"/>
        <s v="Dhanbad"/>
        <s v="Dibrugarh"/>
        <s v="Haridwar"/>
        <s v="Imphal"/>
        <s v="Kavali"/>
        <s v="Machilipatnam"/>
        <s v="North Dumdum"/>
      </sharedItems>
    </cacheField>
    <cacheField name="[Measures].[Count of Order_ID]" caption="Count of Order_ID" numFmtId="0" hierarchy="48"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eder_Delivery]" caption="Dif_Oreder_Delivery" attribute="1" defaultMemberUniqueName="[Orders].[Dif_Oreder_Delivery].[All]" allUniqueName="[Orders].[Dif_Oreder_Delivery].[All]" dimensionUniqueName="[Orders]" displayFolder="" count="0" memberValueDatatype="20" unbalanced="0"/>
    <cacheHierarchy uniqueName="[Orders].[Hour (Delevery Time)]" caption="Hour (Delevery Time)" attribute="1" defaultMemberUniqueName="[Orders].[Hour (Delevery Time)].[All]" allUniqueName="[Orders].[Hour (Del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edr Date)]" caption="Day Name(Oredr Date)" attribute="1" defaultMemberUniqueName="[Orders].[Day Name(Oredr Date)].[All]" allUniqueName="[Orders].[Day Name(Ored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_Oreder_Delivery]" caption="Sum of Dif_Ore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_Oreder_Delivery]" caption="Average of Dif_Ore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ipalli Madhu" refreshedDate="46273.476019675923" backgroundQuery="1" createdVersion="8" refreshedVersion="8" minRefreshableVersion="3" recordCount="0" supportSubquery="1" supportAdvancedDrill="1" xr:uid="{3BD8058D-C4C6-49F0-9E9E-EE438EB55FFF}">
  <cacheSource type="external" connectionId="9"/>
  <cacheFields count="3">
    <cacheField name="[Measures].[Sum of Revenue]" caption="Sum of Revenue" numFmtId="0" hierarchy="43" level="32767"/>
    <cacheField name="[Orders].[Day Name(Oredr Date)].[Day Name(Oredr Date)]" caption="Day Name(Oredr Date)" numFmtId="0" hierarchy="30" level="1">
      <sharedItems count="7">
        <s v="Friday"/>
        <s v="Monday"/>
        <s v="Saturday"/>
        <s v="Sunday"/>
        <s v="Thursday"/>
        <s v="Tuesday"/>
        <s v="Wednesday"/>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eder_Delivery]" caption="Dif_Oreder_Delivery" attribute="1" defaultMemberUniqueName="[Orders].[Dif_Oreder_Delivery].[All]" allUniqueName="[Orders].[Dif_Oreder_Delivery].[All]" dimensionUniqueName="[Orders]" displayFolder="" count="0" memberValueDatatype="20" unbalanced="0"/>
    <cacheHierarchy uniqueName="[Orders].[Hour (Delevery Time)]" caption="Hour (Delevery Time)" attribute="1" defaultMemberUniqueName="[Orders].[Hour (Delevery Time)].[All]" allUniqueName="[Orders].[Hour (Del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edr Date)]" caption="Day Name(Oredr Date)" attribute="1" defaultMemberUniqueName="[Orders].[Day Name(Oredr Date)].[All]" allUniqueName="[Orders].[Day Name(Oredr Dat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_Oreder_Delivery]" caption="Sum of Dif_Ore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_Oreder_Delivery]" caption="Average of Dif_Ore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ipalli Madhu" refreshedDate="46273.451649884257" backgroundQuery="1" createdVersion="3" refreshedVersion="8" minRefreshableVersion="3" recordCount="0" supportSubquery="1" supportAdvancedDrill="1" xr:uid="{41199DD9-34F8-4533-BDEF-1D896DF027D8}">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eder_Delivery]" caption="Dif_Oreder_Delivery" attribute="1" defaultMemberUniqueName="[Orders].[Dif_Oreder_Delivery].[All]" allUniqueName="[Orders].[Dif_Oreder_Delivery].[All]" dimensionUniqueName="[Orders]" displayFolder="" count="0" memberValueDatatype="20" unbalanced="0"/>
    <cacheHierarchy uniqueName="[Orders].[Hour (Delevery Time)]" caption="Hour (Delevery Time)" attribute="1" defaultMemberUniqueName="[Orders].[Hour (Delevery Time)].[All]" allUniqueName="[Orders].[Hour (Del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edr Date)]" caption="Day Name(Oredr Date)" attribute="1" defaultMemberUniqueName="[Orders].[Day Name(Oredr Date)].[All]" allUniqueName="[Orders].[Day Name(Ored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_Oreder_Delivery]" caption="Sum of Dif_Ore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_Oreder_Delivery]" caption="Average of Dif_Ore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33317447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ipalli Madhu" refreshedDate="46273.465238194447" backgroundQuery="1" createdVersion="3" refreshedVersion="8" minRefreshableVersion="3" recordCount="0" supportSubquery="1" supportAdvancedDrill="1" xr:uid="{95CDEA8E-75F1-4F70-A1A7-B63ED504C5BD}">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eder_Delivery]" caption="Dif_Oreder_Delivery" attribute="1" defaultMemberUniqueName="[Orders].[Dif_Oreder_Delivery].[All]" allUniqueName="[Orders].[Dif_Oreder_Delivery].[All]" dimensionUniqueName="[Orders]" displayFolder="" count="0" memberValueDatatype="20" unbalanced="0"/>
    <cacheHierarchy uniqueName="[Orders].[Hour (Delevery Time)]" caption="Hour (Delevery Time)" attribute="1" defaultMemberUniqueName="[Orders].[Hour (Delevery Time)].[All]" allUniqueName="[Orders].[Hour (Del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edr Date)]" caption="Day Name(Oredr Date)" attribute="1" defaultMemberUniqueName="[Orders].[Day Name(Oredr Date)].[All]" allUniqueName="[Orders].[Day Name(Ored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_Oreder_Delivery]" caption="Sum of Dif_Ore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_Oreder_Delivery]" caption="Average of Dif_Ore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79307118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ipalli Madhu" refreshedDate="46273.468578703701" backgroundQuery="1" createdVersion="3" refreshedVersion="8" minRefreshableVersion="3" recordCount="0" supportSubquery="1" supportAdvancedDrill="1" xr:uid="{4315777E-026E-46AE-8F99-DB5D6CF4B151}">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_Oreder_Delivery]" caption="Dif_Oreder_Delivery" attribute="1" defaultMemberUniqueName="[Orders].[Dif_Oreder_Delivery].[All]" allUniqueName="[Orders].[Dif_Oreder_Delivery].[All]" dimensionUniqueName="[Orders]" displayFolder="" count="0" memberValueDatatype="20" unbalanced="0"/>
    <cacheHierarchy uniqueName="[Orders].[Hour (Delevery Time)]" caption="Hour (Delevery Time)" attribute="1" defaultMemberUniqueName="[Orders].[Hour (Delevery Time)].[All]" allUniqueName="[Orders].[Hour (Dele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edr Date)]" caption="Day Name(Oredr Date)" attribute="1" defaultMemberUniqueName="[Orders].[Day Name(Oredr Date)].[All]" allUniqueName="[Orders].[Day Name(Ored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_Oreder_Delivery]" caption="Sum of Dif_Ore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_Oreder_Delivery]" caption="Average of Dif_Ore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55922154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B2F168-C512-48F3-A63D-2523EF6EA299}" name="PivotTable8" cacheId="6" applyNumberFormats="0" applyBorderFormats="0" applyFontFormats="0" applyPatternFormats="0" applyAlignmentFormats="0" applyWidthHeightFormats="1" dataCaption="Values" tag="409de017-c1ce-4ca5-8856-1a28e077c122" updatedVersion="8" minRefreshableVersion="5" useAutoFormatting="1" itemPrintTitles="1" createdVersion="8" indent="0" outline="1" outlineData="1" multipleFieldFilters="0" chartFormat="5">
  <location ref="G18:H26" firstHeaderRow="1" firstDataRow="1" firstDataCol="1"/>
  <pivotFields count="3">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DC6324-878A-4C01-B341-6CB5E8A03C28}" name="PivotTable6" cacheId="0" applyNumberFormats="0" applyBorderFormats="0" applyFontFormats="0" applyPatternFormats="0" applyAlignmentFormats="0" applyWidthHeightFormats="1" dataCaption="Values" tag="b373aa1d-257c-41e2-b857-40e0e224e91f" updatedVersion="8" minRefreshableVersion="5" useAutoFormatting="1" subtotalHiddenItems="1" itemPrintTitles="1" createdVersion="8" indent="0" outline="1" outlineData="1" multipleFieldFilters="0" chartFormat="6">
  <location ref="G8:H1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86FC26-E24D-47C7-AD1C-F06D357587DD}" name="PivotTable3" cacheId="3" applyNumberFormats="0" applyBorderFormats="0" applyFontFormats="0" applyPatternFormats="0" applyAlignmentFormats="0" applyWidthHeightFormats="1" dataCaption="Values" tag="76dd8f13-d961-4a24-aaa8-f7d8f132a921" updatedVersion="8" minRefreshableVersion="3" useAutoFormatting="1" subtotalHiddenItems="1" itemPrintTitles="1" createdVersion="8" indent="0" outline="1" outlineData="1" multipleFieldFilters="0" chartFormat="6">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299520-8394-42F7-B283-CAB2EDE22D04}" name="PivotTable5" cacheId="5" applyNumberFormats="0" applyBorderFormats="0" applyFontFormats="0" applyPatternFormats="0" applyAlignmentFormats="0" applyWidthHeightFormats="1" dataCaption="Values" tag="0604d2e5-7fd5-478e-b5b3-00ad6b66ccea" updatedVersion="8" minRefreshableVersion="5" useAutoFormatting="1" subtotalHiddenItems="1" itemPrintTitles="1" createdVersion="8" indent="0" outline="1" outlineData="1" multipleFieldFilters="0" chartFormat="6">
  <location ref="D17:E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6"/>
    </i>
    <i>
      <x v="3"/>
    </i>
    <i>
      <x v="7"/>
    </i>
    <i>
      <x v="5"/>
    </i>
    <i>
      <x v="2"/>
    </i>
    <i>
      <x v="4"/>
    </i>
    <i>
      <x v="9"/>
    </i>
    <i>
      <x v="1"/>
    </i>
    <i>
      <x/>
    </i>
    <i>
      <x v="8"/>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5E2EFB-5AC8-422F-87E2-A9D7BAF641A7}" name="PivotTable2" cacheId="1" applyNumberFormats="0" applyBorderFormats="0" applyFontFormats="0" applyPatternFormats="0" applyAlignmentFormats="0" applyWidthHeightFormats="1" dataCaption="Values" tag="dc50a96c-4da7-46c1-b821-70adf3a61f08" updatedVersion="8" minRefreshableVersion="5" useAutoFormatting="1" subtotalHiddenItems="1" itemPrintTitles="1" createdVersion="8" indent="0" outline="1" outlineData="1" multipleFieldFilters="0" chartFormat="5">
  <location ref="D7:E1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83089E-B1B4-44E1-8F99-4E3A782169EC}" name="PivotTable1" cacheId="2" applyNumberFormats="0" applyBorderFormats="0" applyFontFormats="0" applyPatternFormats="0" applyAlignmentFormats="0" applyWidthHeightFormats="1" dataCaption="Values" tag="ac2f2761-ba43-4914-8192-70499b9c5ece" updatedVersion="8" minRefreshableVersion="5" useAutoFormatting="1" subtotalHiddenItems="1" itemPrintTitles="1" createdVersion="8" indent="0" outline="1" outlineData="1" multipleFieldFilters="0">
  <location ref="D2:G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Revenue" fld="0" baseField="0" baseItem="1"/>
    <dataField name="Average of Dif_Oreder_Delivery" fld="1" subtotal="average" baseField="0" baseItem="1"/>
    <dataField name="Average of Customer Spending" fld="2" subtotal="average" baseField="0" baseItem="2"/>
    <dataField name="Total Orders Placed" fld="3" subtotal="count" baseField="0" baseItem="3"/>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caption="Average of Dif_Oreder_Delivery"/>
    <pivotHierarchy dragToData="1" caption="Average of Customer Spending"/>
    <pivotHierarchy dragToData="1"/>
    <pivotHierarchy dragToData="1" caption="Total Orders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1AE7A6-6C5E-40D3-B6E1-7759E47B24B0}" name="PivotTable4" cacheId="4" applyNumberFormats="0" applyBorderFormats="0" applyFontFormats="0" applyPatternFormats="0" applyAlignmentFormats="0" applyWidthHeightFormats="1" dataCaption="Values" tag="a00d55f2-4d55-43d5-8571-4d663053f6ba" updatedVersion="8" minRefreshableVersion="5" useAutoFormatting="1" subtotalHiddenItems="1" itemPrintTitles="1" createdVersion="8" indent="0" outline="1" outlineData="1" multipleFieldFilters="0" chartFormat="8">
  <location ref="A18:B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24AB3A1-8F0A-45DB-B4CA-4EF51C5C1C1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56DCD84-1ED6-4F27-BA7E-0B02661DC7B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C3436AAB-E80E-4DD1-BAD0-0CDB5C79DDD1}"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_Oreder_Delivery" tableColumnId="13"/>
      <queryTableField id="14" name="Hour (Delevery Time)" tableColumnId="14"/>
      <queryTableField id="15" name="Price (INR)" tableColumnId="15"/>
      <queryTableField id="16" name="Revenue" tableColumnId="16"/>
      <queryTableField id="17" name="Day Name(Ored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51932884-2BCF-44C9-B87D-BBD81740A10D}"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91423B4-5212-4B15-95F5-5EA4D5F94271}" sourceName="[Orders].[Occasion]">
  <pivotTables>
    <pivotTable tabId="1" name="PivotTable2"/>
    <pivotTable tabId="1" name="PivotTable1"/>
    <pivotTable tabId="1" name="PivotTable3"/>
    <pivotTable tabId="1" name="PivotTable4"/>
    <pivotTable tabId="1" name="PivotTable5"/>
    <pivotTable tabId="1" name="PivotTable8"/>
  </pivotTables>
  <data>
    <olap pivotCacheId="133317447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8964330-2125-4467-AD0A-807271EB79F2}"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3DE2E9-7B8B-4E7D-82ED-1286BC79BFA5}" name="Dataset" displayName="Dataset" ref="A1:F4" tableType="queryTable" totalsRowShown="0">
  <autoFilter ref="A1:F4" xr:uid="{153DE2E9-7B8B-4E7D-82ED-1286BC79BFA5}"/>
  <tableColumns count="6">
    <tableColumn id="1" xr3:uid="{0668D392-8F44-4FE8-81E8-065A230805A0}" uniqueName="1" name="Name" queryTableFieldId="1" dataDxfId="24"/>
    <tableColumn id="2" xr3:uid="{E900C8CB-08A6-4688-8D16-C4BE43D3AD0A}" uniqueName="2" name="Extension" queryTableFieldId="2" dataDxfId="23"/>
    <tableColumn id="3" xr3:uid="{46D13FBA-24DF-4305-BC34-31B5F2345089}" uniqueName="3" name="Date accessed" queryTableFieldId="3" dataDxfId="22"/>
    <tableColumn id="4" xr3:uid="{F9FF6E48-82D0-416E-9966-905CED5CC8F2}" uniqueName="4" name="Date modified" queryTableFieldId="4" dataDxfId="21"/>
    <tableColumn id="5" xr3:uid="{78DD9B51-2D4D-42F8-90C2-B7160D7C6379}" uniqueName="5" name="Date created" queryTableFieldId="5" dataDxfId="20"/>
    <tableColumn id="6" xr3:uid="{363548C0-FE46-4DCF-BA3B-4A17005C42DF}"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42A141-05E3-4775-9DFF-8E5D47836458}" name="Customers" displayName="Customers" ref="A1:G101" tableType="queryTable" totalsRowShown="0">
  <autoFilter ref="A1:G101" xr:uid="{A542A141-05E3-4775-9DFF-8E5D47836458}"/>
  <tableColumns count="7">
    <tableColumn id="1" xr3:uid="{0A9D2DC4-1F2E-4AEA-A853-A55447CC86A3}" uniqueName="1" name="Customer_ID" queryTableFieldId="1" dataDxfId="18"/>
    <tableColumn id="2" xr3:uid="{98422B3E-BAE7-4F6D-8C81-89133C941046}" uniqueName="2" name="Name" queryTableFieldId="2" dataDxfId="17"/>
    <tableColumn id="3" xr3:uid="{7DF56F98-1359-4147-A536-DA1461C321C0}" uniqueName="3" name="City" queryTableFieldId="3" dataDxfId="16"/>
    <tableColumn id="4" xr3:uid="{87F68EDE-41C1-4917-9EE8-A8A38D18AFDC}" uniqueName="4" name="Contact_Number" queryTableFieldId="4" dataDxfId="15"/>
    <tableColumn id="5" xr3:uid="{1594744F-8FC0-4201-A6D1-D714B65A3B21}" uniqueName="5" name="Email" queryTableFieldId="5" dataDxfId="14"/>
    <tableColumn id="6" xr3:uid="{4F1806B0-FA70-4DDF-BF0F-6464CB629873}" uniqueName="6" name="Gender" queryTableFieldId="6" dataDxfId="13"/>
    <tableColumn id="7" xr3:uid="{087D161E-571B-4957-AF51-A56A3E67A532}"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159D59-EBEC-4CBC-AE4C-C2B4E7B02D28}" name="Orders" displayName="Orders" ref="A1:Q1001" tableType="queryTable" totalsRowShown="0">
  <autoFilter ref="A1:Q1001" xr:uid="{D3159D59-EBEC-4CBC-AE4C-C2B4E7B02D28}"/>
  <tableColumns count="17">
    <tableColumn id="1" xr3:uid="{BFF6C8FA-C716-49FB-A41A-7C042F64F0F2}" uniqueName="1" name="Order_ID" queryTableFieldId="1"/>
    <tableColumn id="2" xr3:uid="{04567808-668D-474E-B7A6-BA75671F43B5}" uniqueName="2" name="Customer_ID" queryTableFieldId="2" dataDxfId="11"/>
    <tableColumn id="3" xr3:uid="{64039898-971C-41CD-A960-E17DDC02706D}" uniqueName="3" name="Product_ID" queryTableFieldId="3"/>
    <tableColumn id="4" xr3:uid="{49D5E1C2-5683-4B28-99A8-3BC5DD579096}" uniqueName="4" name="Quantity" queryTableFieldId="4"/>
    <tableColumn id="5" xr3:uid="{3AAEAB1B-6721-42E1-B2D9-EE57C0894744}" uniqueName="5" name="Order_Date" queryTableFieldId="5" dataDxfId="10"/>
    <tableColumn id="6" xr3:uid="{B187FED6-23D9-42C4-BE52-0571A8168591}" uniqueName="6" name="Order_Time" queryTableFieldId="6" dataDxfId="9"/>
    <tableColumn id="7" xr3:uid="{E855E056-0811-4E6A-B6C6-834EF2F1A241}" uniqueName="7" name="Delivery_Date" queryTableFieldId="7" dataDxfId="8"/>
    <tableColumn id="8" xr3:uid="{9FA22E78-3E4D-4CBA-A851-77969673D566}" uniqueName="8" name="Delivery_Time" queryTableFieldId="8" dataDxfId="7"/>
    <tableColumn id="9" xr3:uid="{E1D67172-7FFD-45E2-8669-8A4401382479}" uniqueName="9" name="Location" queryTableFieldId="9" dataDxfId="6"/>
    <tableColumn id="10" xr3:uid="{0EE20295-8DB8-448B-B8E0-C04E7DA06220}" uniqueName="10" name="Occasion" queryTableFieldId="10" dataDxfId="5"/>
    <tableColumn id="11" xr3:uid="{05AD61FE-D45A-489D-8DFC-7C53E77B7B5C}" uniqueName="11" name="Month Name" queryTableFieldId="11" dataDxfId="4"/>
    <tableColumn id="12" xr3:uid="{A34C146C-4914-40CB-8FB3-AD8C675EACE3}" uniqueName="12" name="Hour (Order Time)" queryTableFieldId="12"/>
    <tableColumn id="13" xr3:uid="{D30BFA9B-9534-4B60-BF3F-06B5D41369BD}" uniqueName="13" name="Dif_Oreder_Delivery" queryTableFieldId="13"/>
    <tableColumn id="14" xr3:uid="{FD7F598F-F0B2-41F7-A11B-D01A8C46779D}" uniqueName="14" name="Hour (Delevery Time)" queryTableFieldId="14"/>
    <tableColumn id="15" xr3:uid="{EAE63B18-66F9-49BA-86F3-478AB86A88A7}" uniqueName="15" name="Price (INR)" queryTableFieldId="15"/>
    <tableColumn id="16" xr3:uid="{61FCC40D-3C85-42F4-A47A-3B7D4F9AB8AD}" uniqueName="16" name="Revenue" queryTableFieldId="16"/>
    <tableColumn id="17" xr3:uid="{06E9A896-1990-465F-ABE6-DF68AE275ECC}" uniqueName="17" name="Day Name(Ored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11D7A36-81C1-402F-BF45-5861BEBDCA12}" name="Products" displayName="Products" ref="A1:F71" tableType="queryTable" totalsRowShown="0">
  <autoFilter ref="A1:F71" xr:uid="{E11D7A36-81C1-402F-BF45-5861BEBDCA12}"/>
  <tableColumns count="6">
    <tableColumn id="1" xr3:uid="{67F8CFFE-6DE9-4368-A012-EFEDFC26063E}" uniqueName="1" name="Product_ID" queryTableFieldId="1"/>
    <tableColumn id="2" xr3:uid="{DC8F5653-11A8-42BA-824B-22E662AE8ED7}" uniqueName="2" name="Product_Name" queryTableFieldId="2" dataDxfId="3"/>
    <tableColumn id="3" xr3:uid="{3B21B949-429F-40F7-B2A2-FC44BD906C3C}" uniqueName="3" name="Category" queryTableFieldId="3" dataDxfId="2"/>
    <tableColumn id="4" xr3:uid="{EEB37405-5B80-402E-94BC-CE93889F357F}" uniqueName="4" name="Price (INR)" queryTableFieldId="4"/>
    <tableColumn id="5" xr3:uid="{79E590AF-797D-436B-A9D1-B85E226F17FB}" uniqueName="5" name="Occasion" queryTableFieldId="5" dataDxfId="1"/>
    <tableColumn id="6" xr3:uid="{339497A8-DE6F-42E9-9CD1-7FDE80C06F07}"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A8588C2-7748-4310-A404-3D70CB2CEF32}" sourceName="[Orders].[Order_Date]">
  <pivotTables>
    <pivotTable tabId="1" name="PivotTable2"/>
    <pivotTable tabId="1" name="PivotTable1"/>
    <pivotTable tabId="1" name="PivotTable4"/>
    <pivotTable tabId="1" name="PivotTable5"/>
    <pivotTable tabId="1" name="PivotTable6"/>
    <pivotTable tabId="1" name="PivotTable8"/>
  </pivotTables>
  <state minimalRefreshVersion="6" lastRefreshVersion="6" pivotCacheId="179307118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ADF9A4B2-7A80-42C9-BA4C-22B9C033C8CE}" sourceName="[Orders].[Delivery_Date]">
  <pivotTables>
    <pivotTable tabId="1" name="PivotTable1"/>
    <pivotTable tabId="1" name="PivotTable2"/>
    <pivotTable tabId="1" name="PivotTable4"/>
    <pivotTable tabId="1" name="PivotTable5"/>
    <pivotTable tabId="1" name="PivotTable6"/>
    <pivotTable tabId="1" name="PivotTable8"/>
  </pivotTables>
  <state minimalRefreshVersion="6" lastRefreshVersion="6" pivotCacheId="155922154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CD7499F-44F7-4C70-997B-F36ED8AC4AB3}" cache="Timeline_Order_Date" caption="Order_Date" level="2" selectionLevel="2" scrollPosition="2023-01-01T00:00:00"/>
  <timeline name="Delivery_Date" xr10:uid="{A3DCCFF1-18E7-41A6-BC9C-92BB088C6174}"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AD4F9-B57F-4893-9655-B5BFA1D088E5}">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46.109375" bestFit="1" customWidth="1"/>
  </cols>
  <sheetData>
    <row r="1" spans="1:6" x14ac:dyDescent="0.3">
      <c r="A1" t="s">
        <v>0</v>
      </c>
      <c r="B1" t="s">
        <v>1</v>
      </c>
      <c r="C1" t="s">
        <v>2</v>
      </c>
      <c r="D1" t="s">
        <v>3</v>
      </c>
      <c r="E1" t="s">
        <v>4</v>
      </c>
      <c r="F1" t="s">
        <v>5</v>
      </c>
    </row>
    <row r="2" spans="1:6" x14ac:dyDescent="0.3">
      <c r="A2" t="s">
        <v>6</v>
      </c>
      <c r="B2" t="s">
        <v>7</v>
      </c>
      <c r="C2" s="1">
        <v>46272.790801041665</v>
      </c>
      <c r="D2" s="1">
        <v>46107.959103935187</v>
      </c>
      <c r="E2" s="1">
        <v>46107.959676543207</v>
      </c>
      <c r="F2" t="s">
        <v>8</v>
      </c>
    </row>
    <row r="3" spans="1:6" x14ac:dyDescent="0.3">
      <c r="A3" t="s">
        <v>9</v>
      </c>
      <c r="B3" t="s">
        <v>7</v>
      </c>
      <c r="C3" s="1">
        <v>46272.79565266204</v>
      </c>
      <c r="D3" s="1">
        <v>46107.959174807096</v>
      </c>
      <c r="E3" s="1">
        <v>46107.959676427468</v>
      </c>
      <c r="F3" t="s">
        <v>8</v>
      </c>
    </row>
    <row r="4" spans="1:6" x14ac:dyDescent="0.3">
      <c r="A4" t="s">
        <v>10</v>
      </c>
      <c r="B4" t="s">
        <v>7</v>
      </c>
      <c r="C4" s="1">
        <v>46272.790646836416</v>
      </c>
      <c r="D4" s="1">
        <v>46107.959249305553</v>
      </c>
      <c r="E4" s="1">
        <v>46107.959676273145</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C3F2E-E9E0-41BF-893F-2331C7AFC523}">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2A1D-80E9-4520-9212-DF5BD76AB730}">
  <dimension ref="A1:Q1001"/>
  <sheetViews>
    <sheetView topLeftCell="B975"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20.33203125" bestFit="1" customWidth="1"/>
    <col min="14" max="14" width="21.21875" bestFit="1" customWidth="1"/>
    <col min="15" max="15" width="12.109375" bestFit="1" customWidth="1"/>
    <col min="16" max="16" width="10.5546875" bestFit="1" customWidth="1"/>
    <col min="17" max="17" width="22.554687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1006</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1007</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1008</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1009</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1007</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1010</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1007</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1007</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1010</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1010</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1007</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1007</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1007</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1011</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1011</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1011</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1012</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1008</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1007</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1007</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1008</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1007</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1010</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1010</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1007</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1010</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1008</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1010</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1012</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1013</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1009</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1012</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1009</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1007</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1007</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1007</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1007</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1011</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1008</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1008</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1009</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1010</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1007</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1011</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1008</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1007</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1010</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1011</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1012</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1012</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1010</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1010</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1008</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1012</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1010</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1007</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1010</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1013</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1011</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1012</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1007</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1007</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1010</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1007</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1008</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1011</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1007</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1007</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1010</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1008</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1009</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1009</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1011</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1010</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1010</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1007</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1009</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1007</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1012</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1007</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1013</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1012</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1008</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1007</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1008</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1009</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1010</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1011</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1009</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1008</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1010</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1010</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1013</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1007</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1007</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1010</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1011</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1007</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1012</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1008</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1011</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1013</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1010</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1009</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1011</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1013</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1011</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1010</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1010</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1010</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1011</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1011</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1007</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1011</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1009</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1008</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1012</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1010</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1010</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1009</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1013</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1013</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1010</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1010</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1010</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1008</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1011</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1008</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1007</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1011</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1011</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1009</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1011</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1009</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1012</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1012</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1011</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1013</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1010</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1009</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1012</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1012</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1012</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1010</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1010</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1012</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1012</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1010</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1010</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1012</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1011</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1013</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1013</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1013</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1010</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1012</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1007</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1010</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1010</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1012</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1011</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1010</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1010</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1011</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1012</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1012</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1012</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1010</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1011</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1011</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1010</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1013</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1012</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1011</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1012</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1012</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1012</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1010</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1013</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1010</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1012</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1010</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1011</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1013</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1013</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1012</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1007</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1010</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1009</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1007</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1013</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1013</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1011</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1010</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1010</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1009</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1010</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1012</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1012</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1012</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1011</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1008</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1011</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1013</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1013</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1012</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1011</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1010</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1011</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1008</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1010</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1012</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1012</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1013</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1008</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1012</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1010</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1011</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1007</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1009</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1012</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1009</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1008</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1009</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1009</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1007</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1011</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1010</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1010</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1013</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1008</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1009</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1013</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1008</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1010</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1008</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1012</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1011</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1012</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1010</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1008</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1010</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1013</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1013</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1010</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1013</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1007</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1013</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1012</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1012</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1008</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1007</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1012</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1010</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1007</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1007</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1011</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1013</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1007</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1013</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1013</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1012</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1007</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1009</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1009</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1007</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1007</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1013</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1007</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1007</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1010</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1010</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1007</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1007</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1009</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1007</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1009</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1010</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1010</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1008</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1010</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1011</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1010</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1010</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1010</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1011</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1007</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1013</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1011</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1009</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1011</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1008</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1013</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1011</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1012</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1012</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1008</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1011</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1007</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1009</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1009</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1009</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1007</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1008</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1009</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1009</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1011</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1009</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1009</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1010</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1012</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1010</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1008</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1012</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1013</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1007</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1011</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1012</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1010</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1013</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1013</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1008</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1008</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1011</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1011</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1013</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1012</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1012</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1010</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1008</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1012</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1009</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1013</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1009</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1011</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1009</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1010</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1013</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1008</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1013</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1012</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1009</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1007</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1010</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1009</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1013</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1011</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1009</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1013</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1011</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1011</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1013</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1009</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1008</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1010</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1007</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1009</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1009</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1012</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1009</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1012</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1010</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1013</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1010</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1012</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1011</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1011</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1012</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1010</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1010</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1011</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1011</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1007</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1012</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1009</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1013</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1008</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1013</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1007</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1010</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1010</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1010</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1012</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1012</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1010</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1010</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1007</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1009</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1008</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1010</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1012</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1007</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1010</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1013</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1010</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1013</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1012</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1010</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1011</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1013</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1010</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1013</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1012</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1007</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1007</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1012</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1008</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1012</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1012</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1008</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1011</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1012</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1010</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1009</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1010</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1013</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1011</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1010</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1010</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1010</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1012</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1012</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1008</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1011</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1010</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1007</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1012</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1012</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1009</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1012</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1013</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1010</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1012</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1010</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1012</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1013</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1007</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1011</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1008</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1011</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1011</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1011</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1012</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1010</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1012</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1010</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1010</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1009</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1012</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1009</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1010</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1012</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1012</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1011</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1010</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1008</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1010</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1011</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1011</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1012</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1009</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1010</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1012</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1010</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1009</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1008</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1009</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1011</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1012</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1012</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1011</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1008</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1012</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1008</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1012</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1012</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1011</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1012</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1009</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1008</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1013</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1009</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1007</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1011</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1009</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1013</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1012</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1011</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1012</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1012</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1010</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1012</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1008</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1010</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1007</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1012</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1011</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1012</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1011</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1009</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1012</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1012</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1007</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1012</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1012</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1010</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1012</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1010</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1012</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1009</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1011</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1009</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1007</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1009</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1010</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1011</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1008</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1007</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1010</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1008</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1011</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1013</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1012</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1012</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1010</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1007</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1011</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1012</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1011</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1011</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1011</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1012</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1007</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1012</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1009</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1008</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1009</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1007</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1012</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1011</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1013</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1012</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1008</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1008</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1013</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1010</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1007</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1012</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1012</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1012</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1010</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1008</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1009</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1013</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1008</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1011</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1011</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1009</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1012</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1011</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1008</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1009</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1012</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1012</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1011</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1011</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1008</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1010</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1008</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1008</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1007</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1012</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1008</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1007</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1008</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1013</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1012</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1007</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1010</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1012</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1009</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1013</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1007</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1009</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1012</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1013</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1008</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1013</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1013</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1007</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1008</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1007</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1007</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1013</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1008</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1013</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1013</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1009</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1011</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1011</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1007</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1007</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1013</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1009</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1009</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1013</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1012</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1007</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1009</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1013</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1013</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1008</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1011</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1011</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1013</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1007</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1009</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1010</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1007</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1007</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1011</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1008</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1012</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1008</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1011</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1010</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1013</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1010</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1009</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1013</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1007</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1011</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1010</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1013</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1013</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1007</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1013</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1009</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1008</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1010</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1008</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1008</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1013</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1010</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1013</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1007</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1012</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1007</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1013</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1011</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1007</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1012</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1009</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1008</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1013</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1012</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1011</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1013</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1009</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1013</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1013</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1013</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1009</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1008</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1012</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1007</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1008</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1009</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1013</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1010</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1011</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1009</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1009</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1013</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1013</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1010</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1009</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1013</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1011</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1008</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1012</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1012</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1009</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1010</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1011</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1010</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1013</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1011</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1008</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1012</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1009</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1008</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1009</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1009</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1011</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1010</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1012</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1009</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1012</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1011</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1007</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1010</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1011</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1008</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1010</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1010</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1009</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1008</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1007</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1009</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1007</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1012</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1009</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1009</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1013</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1007</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1008</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1012</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1008</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1008</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1009</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1008</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1013</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1012</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1012</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1012</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1010</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1007</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1010</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1010</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1009</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1009</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1012</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1013</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1009</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1007</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1011</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1007</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1010</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1007</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1007</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1012</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1007</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1012</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1011</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1010</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1012</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1013</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1010</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1009</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1011</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1010</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1010</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1007</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1011</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1013</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1008</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1011</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1011</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1011</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1011</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1009</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1013</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1008</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1009</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1011</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1011</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1011</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1011</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1007</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1009</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1012</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1010</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1007</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1012</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1009</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1012</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1010</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1013</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1013</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1011</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1010</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1013</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1010</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1009</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1011</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1010</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1008</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1009</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1008</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1009</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1011</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1007</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1012</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1009</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1009</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1010</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1007</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1010</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1007</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1010</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1009</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1010</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1013</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1008</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1010</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1008</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1010</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1008</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1012</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1009</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1010</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1007</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1010</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1009</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1012</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1013</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1012</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1013</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1011</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1009</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1010</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1013</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1013</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1010</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1009</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1007</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1008</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1010</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1009</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1008</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1007</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1012</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1011</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1009</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1012</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1012</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1010</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1007</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1010</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1009</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1008</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1013</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1008</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1012</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1012</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1012</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1010</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1009</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1013</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1011</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1008</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1009</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1010</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1009</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1007</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1013</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1013</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1009</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1007</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1009</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1007</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1010</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1013</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1010</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1009</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1009</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1013</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1011</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1013</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1009</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1009</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1013</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1009</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1011</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1008</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1011</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1009</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1008</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1012</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1013</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1011</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1011</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1009</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1012</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1011</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1012</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1013</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1010</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1012</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1010</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1012</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1008</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1010</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1007</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1010</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1013</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1008</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1012</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1007</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1012</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1011</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1012</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1008</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1013</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1010</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1011</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1008</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1013</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1009</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1007</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1007</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1013</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1009</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1008</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1008</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1013</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1012</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1012</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1010</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1011</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1011</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1011</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1012</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1013</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1007</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1009</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1009</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1010</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1007</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1007</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1009</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1009</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1012</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1008</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1008</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1008</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1009</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1010</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1007</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1011</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1007</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1013</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1009</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1011</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1009</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1012</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1007</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1013</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1009</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1008</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1013</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1013</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1007</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1010</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1007</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1007</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1008</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1011</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1010</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1013</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1011</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1011</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1011</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1011</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1008</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1008</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1009</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1009</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1010</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1012</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1009</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1007</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1009</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1012</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1013</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1008</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1009</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1009</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1011</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1010</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1007</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1008</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1008</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1010</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1012</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1011</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1013</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1007</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1007</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1010</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1009</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1013</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1009</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1013</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1010</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1009</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1013</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1010</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1010</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1007</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C648C-7013-419C-A793-EEB58B7496AE}">
  <dimension ref="A1:F71"/>
  <sheetViews>
    <sheetView workbookViewId="0">
      <selection activeCell="K12" sqref="K12"/>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856</v>
      </c>
      <c r="C1" t="s">
        <v>857</v>
      </c>
      <c r="D1" t="s">
        <v>618</v>
      </c>
      <c r="E1" t="s">
        <v>613</v>
      </c>
      <c r="F1" t="s">
        <v>858</v>
      </c>
    </row>
    <row r="2" spans="1:6" x14ac:dyDescent="0.3">
      <c r="A2">
        <v>1</v>
      </c>
      <c r="B2" t="s">
        <v>859</v>
      </c>
      <c r="C2" t="s">
        <v>860</v>
      </c>
      <c r="D2">
        <v>1935</v>
      </c>
      <c r="E2" t="s">
        <v>699</v>
      </c>
      <c r="F2" t="s">
        <v>861</v>
      </c>
    </row>
    <row r="3" spans="1:6" x14ac:dyDescent="0.3">
      <c r="A3">
        <v>2</v>
      </c>
      <c r="B3" t="s">
        <v>862</v>
      </c>
      <c r="C3" t="s">
        <v>863</v>
      </c>
      <c r="D3">
        <v>441</v>
      </c>
      <c r="E3" t="s">
        <v>620</v>
      </c>
      <c r="F3" t="s">
        <v>864</v>
      </c>
    </row>
    <row r="4" spans="1:6" x14ac:dyDescent="0.3">
      <c r="A4">
        <v>3</v>
      </c>
      <c r="B4" t="s">
        <v>865</v>
      </c>
      <c r="C4" t="s">
        <v>866</v>
      </c>
      <c r="D4">
        <v>1534</v>
      </c>
      <c r="E4" t="s">
        <v>620</v>
      </c>
      <c r="F4" t="s">
        <v>867</v>
      </c>
    </row>
    <row r="5" spans="1:6" x14ac:dyDescent="0.3">
      <c r="A5">
        <v>4</v>
      </c>
      <c r="B5" t="s">
        <v>868</v>
      </c>
      <c r="C5" t="s">
        <v>869</v>
      </c>
      <c r="D5">
        <v>1199</v>
      </c>
      <c r="E5" t="s">
        <v>829</v>
      </c>
      <c r="F5" t="s">
        <v>870</v>
      </c>
    </row>
    <row r="6" spans="1:6" x14ac:dyDescent="0.3">
      <c r="A6">
        <v>5</v>
      </c>
      <c r="B6" t="s">
        <v>871</v>
      </c>
      <c r="C6" t="s">
        <v>866</v>
      </c>
      <c r="D6">
        <v>1444</v>
      </c>
      <c r="E6" t="s">
        <v>699</v>
      </c>
      <c r="F6" t="s">
        <v>872</v>
      </c>
    </row>
    <row r="7" spans="1:6" x14ac:dyDescent="0.3">
      <c r="A7">
        <v>6</v>
      </c>
      <c r="B7" t="s">
        <v>873</v>
      </c>
      <c r="C7" t="s">
        <v>874</v>
      </c>
      <c r="D7">
        <v>1112</v>
      </c>
      <c r="E7" t="s">
        <v>701</v>
      </c>
      <c r="F7" t="s">
        <v>875</v>
      </c>
    </row>
    <row r="8" spans="1:6" x14ac:dyDescent="0.3">
      <c r="A8">
        <v>7</v>
      </c>
      <c r="B8" t="s">
        <v>876</v>
      </c>
      <c r="C8" t="s">
        <v>860</v>
      </c>
      <c r="D8">
        <v>409</v>
      </c>
      <c r="E8" t="s">
        <v>701</v>
      </c>
      <c r="F8" t="s">
        <v>877</v>
      </c>
    </row>
    <row r="9" spans="1:6" x14ac:dyDescent="0.3">
      <c r="A9">
        <v>8</v>
      </c>
      <c r="B9" t="s">
        <v>878</v>
      </c>
      <c r="C9" t="s">
        <v>869</v>
      </c>
      <c r="D9">
        <v>252</v>
      </c>
      <c r="E9" t="s">
        <v>698</v>
      </c>
      <c r="F9" t="s">
        <v>879</v>
      </c>
    </row>
    <row r="10" spans="1:6" x14ac:dyDescent="0.3">
      <c r="A10">
        <v>9</v>
      </c>
      <c r="B10" t="s">
        <v>880</v>
      </c>
      <c r="C10" t="s">
        <v>866</v>
      </c>
      <c r="D10">
        <v>1605</v>
      </c>
      <c r="E10" t="s">
        <v>794</v>
      </c>
      <c r="F10" t="s">
        <v>881</v>
      </c>
    </row>
    <row r="11" spans="1:6" x14ac:dyDescent="0.3">
      <c r="A11">
        <v>10</v>
      </c>
      <c r="B11" t="s">
        <v>882</v>
      </c>
      <c r="C11" t="s">
        <v>874</v>
      </c>
      <c r="D11">
        <v>259</v>
      </c>
      <c r="E11" t="s">
        <v>707</v>
      </c>
      <c r="F11" t="s">
        <v>883</v>
      </c>
    </row>
    <row r="12" spans="1:6" x14ac:dyDescent="0.3">
      <c r="A12">
        <v>11</v>
      </c>
      <c r="B12" t="s">
        <v>884</v>
      </c>
      <c r="C12" t="s">
        <v>885</v>
      </c>
      <c r="D12">
        <v>1096</v>
      </c>
      <c r="E12" t="s">
        <v>620</v>
      </c>
      <c r="F12" t="s">
        <v>886</v>
      </c>
    </row>
    <row r="13" spans="1:6" x14ac:dyDescent="0.3">
      <c r="A13">
        <v>12</v>
      </c>
      <c r="B13" t="s">
        <v>887</v>
      </c>
      <c r="C13" t="s">
        <v>863</v>
      </c>
      <c r="D13">
        <v>672</v>
      </c>
      <c r="E13" t="s">
        <v>698</v>
      </c>
      <c r="F13" t="s">
        <v>888</v>
      </c>
    </row>
    <row r="14" spans="1:6" x14ac:dyDescent="0.3">
      <c r="A14">
        <v>13</v>
      </c>
      <c r="B14" t="s">
        <v>889</v>
      </c>
      <c r="C14" t="s">
        <v>885</v>
      </c>
      <c r="D14">
        <v>1141</v>
      </c>
      <c r="E14" t="s">
        <v>701</v>
      </c>
      <c r="F14" t="s">
        <v>890</v>
      </c>
    </row>
    <row r="15" spans="1:6" x14ac:dyDescent="0.3">
      <c r="A15">
        <v>14</v>
      </c>
      <c r="B15" t="s">
        <v>891</v>
      </c>
      <c r="C15" t="s">
        <v>866</v>
      </c>
      <c r="D15">
        <v>1915</v>
      </c>
      <c r="E15" t="s">
        <v>707</v>
      </c>
      <c r="F15" t="s">
        <v>892</v>
      </c>
    </row>
    <row r="16" spans="1:6" x14ac:dyDescent="0.3">
      <c r="A16">
        <v>15</v>
      </c>
      <c r="B16" t="s">
        <v>893</v>
      </c>
      <c r="C16" t="s">
        <v>794</v>
      </c>
      <c r="D16">
        <v>1488</v>
      </c>
      <c r="E16" t="s">
        <v>698</v>
      </c>
      <c r="F16" t="s">
        <v>894</v>
      </c>
    </row>
    <row r="17" spans="1:6" x14ac:dyDescent="0.3">
      <c r="A17">
        <v>16</v>
      </c>
      <c r="B17" t="s">
        <v>895</v>
      </c>
      <c r="C17" t="s">
        <v>869</v>
      </c>
      <c r="D17">
        <v>1721</v>
      </c>
      <c r="E17" t="s">
        <v>701</v>
      </c>
      <c r="F17" t="s">
        <v>896</v>
      </c>
    </row>
    <row r="18" spans="1:6" x14ac:dyDescent="0.3">
      <c r="A18">
        <v>17</v>
      </c>
      <c r="B18" t="s">
        <v>897</v>
      </c>
      <c r="C18" t="s">
        <v>860</v>
      </c>
      <c r="D18">
        <v>1899</v>
      </c>
      <c r="E18" t="s">
        <v>698</v>
      </c>
      <c r="F18" t="s">
        <v>898</v>
      </c>
    </row>
    <row r="19" spans="1:6" x14ac:dyDescent="0.3">
      <c r="A19">
        <v>18</v>
      </c>
      <c r="B19" t="s">
        <v>899</v>
      </c>
      <c r="C19" t="s">
        <v>863</v>
      </c>
      <c r="D19">
        <v>781</v>
      </c>
      <c r="E19" t="s">
        <v>707</v>
      </c>
      <c r="F19" t="s">
        <v>900</v>
      </c>
    </row>
    <row r="20" spans="1:6" x14ac:dyDescent="0.3">
      <c r="A20">
        <v>19</v>
      </c>
      <c r="B20" t="s">
        <v>901</v>
      </c>
      <c r="C20" t="s">
        <v>885</v>
      </c>
      <c r="D20">
        <v>1234</v>
      </c>
      <c r="E20" t="s">
        <v>620</v>
      </c>
      <c r="F20" t="s">
        <v>902</v>
      </c>
    </row>
    <row r="21" spans="1:6" x14ac:dyDescent="0.3">
      <c r="A21">
        <v>20</v>
      </c>
      <c r="B21" t="s">
        <v>903</v>
      </c>
      <c r="C21" t="s">
        <v>866</v>
      </c>
      <c r="D21">
        <v>697</v>
      </c>
      <c r="E21" t="s">
        <v>698</v>
      </c>
      <c r="F21" t="s">
        <v>904</v>
      </c>
    </row>
    <row r="22" spans="1:6" x14ac:dyDescent="0.3">
      <c r="A22">
        <v>21</v>
      </c>
      <c r="B22" t="s">
        <v>905</v>
      </c>
      <c r="C22" t="s">
        <v>866</v>
      </c>
      <c r="D22">
        <v>1561</v>
      </c>
      <c r="E22" t="s">
        <v>794</v>
      </c>
      <c r="F22" t="s">
        <v>906</v>
      </c>
    </row>
    <row r="23" spans="1:6" x14ac:dyDescent="0.3">
      <c r="A23">
        <v>22</v>
      </c>
      <c r="B23" t="s">
        <v>907</v>
      </c>
      <c r="C23" t="s">
        <v>860</v>
      </c>
      <c r="D23">
        <v>1639</v>
      </c>
      <c r="E23" t="s">
        <v>699</v>
      </c>
      <c r="F23" t="s">
        <v>908</v>
      </c>
    </row>
    <row r="24" spans="1:6" x14ac:dyDescent="0.3">
      <c r="A24">
        <v>23</v>
      </c>
      <c r="B24" t="s">
        <v>909</v>
      </c>
      <c r="C24" t="s">
        <v>869</v>
      </c>
      <c r="D24">
        <v>1098</v>
      </c>
      <c r="E24" t="s">
        <v>698</v>
      </c>
      <c r="F24" t="s">
        <v>910</v>
      </c>
    </row>
    <row r="25" spans="1:6" x14ac:dyDescent="0.3">
      <c r="A25">
        <v>24</v>
      </c>
      <c r="B25" t="s">
        <v>911</v>
      </c>
      <c r="C25" t="s">
        <v>885</v>
      </c>
      <c r="D25">
        <v>535</v>
      </c>
      <c r="E25" t="s">
        <v>707</v>
      </c>
      <c r="F25" t="s">
        <v>912</v>
      </c>
    </row>
    <row r="26" spans="1:6" x14ac:dyDescent="0.3">
      <c r="A26">
        <v>25</v>
      </c>
      <c r="B26" t="s">
        <v>913</v>
      </c>
      <c r="C26" t="s">
        <v>863</v>
      </c>
      <c r="D26">
        <v>1202</v>
      </c>
      <c r="E26" t="s">
        <v>698</v>
      </c>
      <c r="F26" t="s">
        <v>914</v>
      </c>
    </row>
    <row r="27" spans="1:6" x14ac:dyDescent="0.3">
      <c r="A27">
        <v>26</v>
      </c>
      <c r="B27" t="s">
        <v>915</v>
      </c>
      <c r="C27" t="s">
        <v>866</v>
      </c>
      <c r="D27">
        <v>289</v>
      </c>
      <c r="E27" t="s">
        <v>701</v>
      </c>
      <c r="F27" t="s">
        <v>916</v>
      </c>
    </row>
    <row r="28" spans="1:6" x14ac:dyDescent="0.3">
      <c r="A28">
        <v>27</v>
      </c>
      <c r="B28" t="s">
        <v>917</v>
      </c>
      <c r="C28" t="s">
        <v>874</v>
      </c>
      <c r="D28">
        <v>548</v>
      </c>
      <c r="E28" t="s">
        <v>794</v>
      </c>
      <c r="F28" t="s">
        <v>918</v>
      </c>
    </row>
    <row r="29" spans="1:6" x14ac:dyDescent="0.3">
      <c r="A29">
        <v>28</v>
      </c>
      <c r="B29" t="s">
        <v>919</v>
      </c>
      <c r="C29" t="s">
        <v>869</v>
      </c>
      <c r="D29">
        <v>1778</v>
      </c>
      <c r="E29" t="s">
        <v>794</v>
      </c>
      <c r="F29" t="s">
        <v>920</v>
      </c>
    </row>
    <row r="30" spans="1:6" x14ac:dyDescent="0.3">
      <c r="A30">
        <v>29</v>
      </c>
      <c r="B30" t="s">
        <v>921</v>
      </c>
      <c r="C30" t="s">
        <v>866</v>
      </c>
      <c r="D30">
        <v>1252</v>
      </c>
      <c r="E30" t="s">
        <v>701</v>
      </c>
      <c r="F30" t="s">
        <v>922</v>
      </c>
    </row>
    <row r="31" spans="1:6" x14ac:dyDescent="0.3">
      <c r="A31">
        <v>30</v>
      </c>
      <c r="B31" t="s">
        <v>923</v>
      </c>
      <c r="C31" t="s">
        <v>866</v>
      </c>
      <c r="D31">
        <v>751</v>
      </c>
      <c r="E31" t="s">
        <v>698</v>
      </c>
      <c r="F31" t="s">
        <v>924</v>
      </c>
    </row>
    <row r="32" spans="1:6" x14ac:dyDescent="0.3">
      <c r="A32">
        <v>31</v>
      </c>
      <c r="B32" t="s">
        <v>925</v>
      </c>
      <c r="C32" t="s">
        <v>866</v>
      </c>
      <c r="D32">
        <v>1804</v>
      </c>
      <c r="E32" t="s">
        <v>699</v>
      </c>
      <c r="F32" t="s">
        <v>926</v>
      </c>
    </row>
    <row r="33" spans="1:6" x14ac:dyDescent="0.3">
      <c r="A33">
        <v>32</v>
      </c>
      <c r="B33" t="s">
        <v>927</v>
      </c>
      <c r="C33" t="s">
        <v>860</v>
      </c>
      <c r="D33">
        <v>1792</v>
      </c>
      <c r="E33" t="s">
        <v>707</v>
      </c>
      <c r="F33" t="s">
        <v>928</v>
      </c>
    </row>
    <row r="34" spans="1:6" x14ac:dyDescent="0.3">
      <c r="A34">
        <v>33</v>
      </c>
      <c r="B34" t="s">
        <v>929</v>
      </c>
      <c r="C34" t="s">
        <v>866</v>
      </c>
      <c r="D34">
        <v>314</v>
      </c>
      <c r="E34" t="s">
        <v>620</v>
      </c>
      <c r="F34" t="s">
        <v>930</v>
      </c>
    </row>
    <row r="35" spans="1:6" x14ac:dyDescent="0.3">
      <c r="A35">
        <v>34</v>
      </c>
      <c r="B35" t="s">
        <v>931</v>
      </c>
      <c r="C35" t="s">
        <v>860</v>
      </c>
      <c r="D35">
        <v>1335</v>
      </c>
      <c r="E35" t="s">
        <v>794</v>
      </c>
      <c r="F35" t="s">
        <v>932</v>
      </c>
    </row>
    <row r="36" spans="1:6" x14ac:dyDescent="0.3">
      <c r="A36">
        <v>35</v>
      </c>
      <c r="B36" t="s">
        <v>933</v>
      </c>
      <c r="C36" t="s">
        <v>866</v>
      </c>
      <c r="D36">
        <v>1865</v>
      </c>
      <c r="E36" t="s">
        <v>701</v>
      </c>
      <c r="F36" t="s">
        <v>934</v>
      </c>
    </row>
    <row r="37" spans="1:6" x14ac:dyDescent="0.3">
      <c r="A37">
        <v>36</v>
      </c>
      <c r="B37" t="s">
        <v>935</v>
      </c>
      <c r="C37" t="s">
        <v>863</v>
      </c>
      <c r="D37">
        <v>203</v>
      </c>
      <c r="E37" t="s">
        <v>707</v>
      </c>
      <c r="F37" t="s">
        <v>936</v>
      </c>
    </row>
    <row r="38" spans="1:6" x14ac:dyDescent="0.3">
      <c r="A38">
        <v>37</v>
      </c>
      <c r="B38" t="s">
        <v>937</v>
      </c>
      <c r="C38" t="s">
        <v>866</v>
      </c>
      <c r="D38">
        <v>1428</v>
      </c>
      <c r="E38" t="s">
        <v>829</v>
      </c>
      <c r="F38" t="s">
        <v>938</v>
      </c>
    </row>
    <row r="39" spans="1:6" x14ac:dyDescent="0.3">
      <c r="A39">
        <v>38</v>
      </c>
      <c r="B39" t="s">
        <v>939</v>
      </c>
      <c r="C39" t="s">
        <v>874</v>
      </c>
      <c r="D39">
        <v>562</v>
      </c>
      <c r="E39" t="s">
        <v>707</v>
      </c>
      <c r="F39" t="s">
        <v>940</v>
      </c>
    </row>
    <row r="40" spans="1:6" x14ac:dyDescent="0.3">
      <c r="A40">
        <v>39</v>
      </c>
      <c r="B40" t="s">
        <v>941</v>
      </c>
      <c r="C40" t="s">
        <v>885</v>
      </c>
      <c r="D40">
        <v>387</v>
      </c>
      <c r="E40" t="s">
        <v>699</v>
      </c>
      <c r="F40" t="s">
        <v>942</v>
      </c>
    </row>
    <row r="41" spans="1:6" x14ac:dyDescent="0.3">
      <c r="A41">
        <v>40</v>
      </c>
      <c r="B41" t="s">
        <v>943</v>
      </c>
      <c r="C41" t="s">
        <v>869</v>
      </c>
      <c r="D41">
        <v>1923</v>
      </c>
      <c r="E41" t="s">
        <v>698</v>
      </c>
      <c r="F41" t="s">
        <v>944</v>
      </c>
    </row>
    <row r="42" spans="1:6" x14ac:dyDescent="0.3">
      <c r="A42">
        <v>41</v>
      </c>
      <c r="B42" t="s">
        <v>945</v>
      </c>
      <c r="C42" t="s">
        <v>869</v>
      </c>
      <c r="D42">
        <v>1977</v>
      </c>
      <c r="E42" t="s">
        <v>829</v>
      </c>
      <c r="F42" t="s">
        <v>946</v>
      </c>
    </row>
    <row r="43" spans="1:6" x14ac:dyDescent="0.3">
      <c r="A43">
        <v>42</v>
      </c>
      <c r="B43" t="s">
        <v>947</v>
      </c>
      <c r="C43" t="s">
        <v>869</v>
      </c>
      <c r="D43">
        <v>1744</v>
      </c>
      <c r="E43" t="s">
        <v>699</v>
      </c>
      <c r="F43" t="s">
        <v>948</v>
      </c>
    </row>
    <row r="44" spans="1:6" x14ac:dyDescent="0.3">
      <c r="A44">
        <v>43</v>
      </c>
      <c r="B44" t="s">
        <v>949</v>
      </c>
      <c r="C44" t="s">
        <v>794</v>
      </c>
      <c r="D44">
        <v>750</v>
      </c>
      <c r="E44" t="s">
        <v>829</v>
      </c>
      <c r="F44" t="s">
        <v>950</v>
      </c>
    </row>
    <row r="45" spans="1:6" x14ac:dyDescent="0.3">
      <c r="A45">
        <v>44</v>
      </c>
      <c r="B45" t="s">
        <v>951</v>
      </c>
      <c r="C45" t="s">
        <v>863</v>
      </c>
      <c r="D45">
        <v>794</v>
      </c>
      <c r="E45" t="s">
        <v>829</v>
      </c>
      <c r="F45" t="s">
        <v>952</v>
      </c>
    </row>
    <row r="46" spans="1:6" x14ac:dyDescent="0.3">
      <c r="A46">
        <v>45</v>
      </c>
      <c r="B46" t="s">
        <v>953</v>
      </c>
      <c r="C46" t="s">
        <v>794</v>
      </c>
      <c r="D46">
        <v>722</v>
      </c>
      <c r="E46" t="s">
        <v>707</v>
      </c>
      <c r="F46" t="s">
        <v>954</v>
      </c>
    </row>
    <row r="47" spans="1:6" x14ac:dyDescent="0.3">
      <c r="A47">
        <v>46</v>
      </c>
      <c r="B47" t="s">
        <v>955</v>
      </c>
      <c r="C47" t="s">
        <v>874</v>
      </c>
      <c r="D47">
        <v>758</v>
      </c>
      <c r="E47" t="s">
        <v>698</v>
      </c>
      <c r="F47" t="s">
        <v>956</v>
      </c>
    </row>
    <row r="48" spans="1:6" x14ac:dyDescent="0.3">
      <c r="A48">
        <v>47</v>
      </c>
      <c r="B48" t="s">
        <v>957</v>
      </c>
      <c r="C48" t="s">
        <v>866</v>
      </c>
      <c r="D48">
        <v>1638</v>
      </c>
      <c r="E48" t="s">
        <v>701</v>
      </c>
      <c r="F48" t="s">
        <v>958</v>
      </c>
    </row>
    <row r="49" spans="1:6" x14ac:dyDescent="0.3">
      <c r="A49">
        <v>48</v>
      </c>
      <c r="B49" t="s">
        <v>959</v>
      </c>
      <c r="C49" t="s">
        <v>866</v>
      </c>
      <c r="D49">
        <v>433</v>
      </c>
      <c r="E49" t="s">
        <v>829</v>
      </c>
      <c r="F49" t="s">
        <v>960</v>
      </c>
    </row>
    <row r="50" spans="1:6" x14ac:dyDescent="0.3">
      <c r="A50">
        <v>49</v>
      </c>
      <c r="B50" t="s">
        <v>961</v>
      </c>
      <c r="C50" t="s">
        <v>866</v>
      </c>
      <c r="D50">
        <v>903</v>
      </c>
      <c r="E50" t="s">
        <v>620</v>
      </c>
      <c r="F50" t="s">
        <v>962</v>
      </c>
    </row>
    <row r="51" spans="1:6" x14ac:dyDescent="0.3">
      <c r="A51">
        <v>50</v>
      </c>
      <c r="B51" t="s">
        <v>963</v>
      </c>
      <c r="C51" t="s">
        <v>863</v>
      </c>
      <c r="D51">
        <v>422</v>
      </c>
      <c r="E51" t="s">
        <v>701</v>
      </c>
      <c r="F51" t="s">
        <v>964</v>
      </c>
    </row>
    <row r="52" spans="1:6" x14ac:dyDescent="0.3">
      <c r="A52">
        <v>51</v>
      </c>
      <c r="B52" t="s">
        <v>965</v>
      </c>
      <c r="C52" t="s">
        <v>860</v>
      </c>
      <c r="D52">
        <v>1084</v>
      </c>
      <c r="E52" t="s">
        <v>699</v>
      </c>
      <c r="F52" t="s">
        <v>966</v>
      </c>
    </row>
    <row r="53" spans="1:6" x14ac:dyDescent="0.3">
      <c r="A53">
        <v>52</v>
      </c>
      <c r="B53" t="s">
        <v>967</v>
      </c>
      <c r="C53" t="s">
        <v>794</v>
      </c>
      <c r="D53">
        <v>236</v>
      </c>
      <c r="E53" t="s">
        <v>620</v>
      </c>
      <c r="F53" t="s">
        <v>968</v>
      </c>
    </row>
    <row r="54" spans="1:6" x14ac:dyDescent="0.3">
      <c r="A54">
        <v>53</v>
      </c>
      <c r="B54" t="s">
        <v>969</v>
      </c>
      <c r="C54" t="s">
        <v>869</v>
      </c>
      <c r="D54">
        <v>1672</v>
      </c>
      <c r="E54" t="s">
        <v>794</v>
      </c>
      <c r="F54" t="s">
        <v>970</v>
      </c>
    </row>
    <row r="55" spans="1:6" x14ac:dyDescent="0.3">
      <c r="A55">
        <v>54</v>
      </c>
      <c r="B55" t="s">
        <v>971</v>
      </c>
      <c r="C55" t="s">
        <v>874</v>
      </c>
      <c r="D55">
        <v>1236</v>
      </c>
      <c r="E55" t="s">
        <v>698</v>
      </c>
      <c r="F55" t="s">
        <v>972</v>
      </c>
    </row>
    <row r="56" spans="1:6" x14ac:dyDescent="0.3">
      <c r="A56">
        <v>55</v>
      </c>
      <c r="B56" t="s">
        <v>973</v>
      </c>
      <c r="C56" t="s">
        <v>860</v>
      </c>
      <c r="D56">
        <v>1904</v>
      </c>
      <c r="E56" t="s">
        <v>794</v>
      </c>
      <c r="F56" t="s">
        <v>974</v>
      </c>
    </row>
    <row r="57" spans="1:6" x14ac:dyDescent="0.3">
      <c r="A57">
        <v>56</v>
      </c>
      <c r="B57" t="s">
        <v>905</v>
      </c>
      <c r="C57" t="s">
        <v>794</v>
      </c>
      <c r="D57">
        <v>1272</v>
      </c>
      <c r="E57" t="s">
        <v>698</v>
      </c>
      <c r="F57" t="s">
        <v>975</v>
      </c>
    </row>
    <row r="58" spans="1:6" x14ac:dyDescent="0.3">
      <c r="A58">
        <v>57</v>
      </c>
      <c r="B58" t="s">
        <v>976</v>
      </c>
      <c r="C58" t="s">
        <v>866</v>
      </c>
      <c r="D58">
        <v>1582</v>
      </c>
      <c r="E58" t="s">
        <v>707</v>
      </c>
      <c r="F58" t="s">
        <v>977</v>
      </c>
    </row>
    <row r="59" spans="1:6" x14ac:dyDescent="0.3">
      <c r="A59">
        <v>58</v>
      </c>
      <c r="B59" t="s">
        <v>978</v>
      </c>
      <c r="C59" t="s">
        <v>874</v>
      </c>
      <c r="D59">
        <v>1492</v>
      </c>
      <c r="E59" t="s">
        <v>620</v>
      </c>
      <c r="F59" t="s">
        <v>979</v>
      </c>
    </row>
    <row r="60" spans="1:6" x14ac:dyDescent="0.3">
      <c r="A60">
        <v>59</v>
      </c>
      <c r="B60" t="s">
        <v>980</v>
      </c>
      <c r="C60" t="s">
        <v>874</v>
      </c>
      <c r="D60">
        <v>811</v>
      </c>
      <c r="E60" t="s">
        <v>794</v>
      </c>
      <c r="F60" t="s">
        <v>981</v>
      </c>
    </row>
    <row r="61" spans="1:6" x14ac:dyDescent="0.3">
      <c r="A61">
        <v>60</v>
      </c>
      <c r="B61" t="s">
        <v>982</v>
      </c>
      <c r="C61" t="s">
        <v>869</v>
      </c>
      <c r="D61">
        <v>827</v>
      </c>
      <c r="E61" t="s">
        <v>829</v>
      </c>
      <c r="F61" t="s">
        <v>983</v>
      </c>
    </row>
    <row r="62" spans="1:6" x14ac:dyDescent="0.3">
      <c r="A62">
        <v>61</v>
      </c>
      <c r="B62" t="s">
        <v>984</v>
      </c>
      <c r="C62" t="s">
        <v>863</v>
      </c>
      <c r="D62">
        <v>810</v>
      </c>
      <c r="E62" t="s">
        <v>698</v>
      </c>
      <c r="F62" t="s">
        <v>985</v>
      </c>
    </row>
    <row r="63" spans="1:6" x14ac:dyDescent="0.3">
      <c r="A63">
        <v>62</v>
      </c>
      <c r="B63" t="s">
        <v>986</v>
      </c>
      <c r="C63" t="s">
        <v>866</v>
      </c>
      <c r="D63">
        <v>1356</v>
      </c>
      <c r="E63" t="s">
        <v>701</v>
      </c>
      <c r="F63" t="s">
        <v>987</v>
      </c>
    </row>
    <row r="64" spans="1:6" x14ac:dyDescent="0.3">
      <c r="A64">
        <v>63</v>
      </c>
      <c r="B64" t="s">
        <v>988</v>
      </c>
      <c r="C64" t="s">
        <v>869</v>
      </c>
      <c r="D64">
        <v>1348</v>
      </c>
      <c r="E64" t="s">
        <v>699</v>
      </c>
      <c r="F64" t="s">
        <v>989</v>
      </c>
    </row>
    <row r="65" spans="1:6" x14ac:dyDescent="0.3">
      <c r="A65">
        <v>64</v>
      </c>
      <c r="B65" t="s">
        <v>990</v>
      </c>
      <c r="C65" t="s">
        <v>860</v>
      </c>
      <c r="D65">
        <v>1878</v>
      </c>
      <c r="E65" t="s">
        <v>794</v>
      </c>
      <c r="F65" t="s">
        <v>991</v>
      </c>
    </row>
    <row r="66" spans="1:6" x14ac:dyDescent="0.3">
      <c r="A66">
        <v>65</v>
      </c>
      <c r="B66" t="s">
        <v>992</v>
      </c>
      <c r="C66" t="s">
        <v>794</v>
      </c>
      <c r="D66">
        <v>1895</v>
      </c>
      <c r="E66" t="s">
        <v>699</v>
      </c>
      <c r="F66" t="s">
        <v>993</v>
      </c>
    </row>
    <row r="67" spans="1:6" x14ac:dyDescent="0.3">
      <c r="A67">
        <v>66</v>
      </c>
      <c r="B67" t="s">
        <v>994</v>
      </c>
      <c r="C67" t="s">
        <v>866</v>
      </c>
      <c r="D67">
        <v>610</v>
      </c>
      <c r="E67" t="s">
        <v>701</v>
      </c>
      <c r="F67" t="s">
        <v>995</v>
      </c>
    </row>
    <row r="68" spans="1:6" x14ac:dyDescent="0.3">
      <c r="A68">
        <v>67</v>
      </c>
      <c r="B68" t="s">
        <v>996</v>
      </c>
      <c r="C68" t="s">
        <v>794</v>
      </c>
      <c r="D68">
        <v>1374</v>
      </c>
      <c r="E68" t="s">
        <v>698</v>
      </c>
      <c r="F68" t="s">
        <v>997</v>
      </c>
    </row>
    <row r="69" spans="1:6" x14ac:dyDescent="0.3">
      <c r="A69">
        <v>68</v>
      </c>
      <c r="B69" t="s">
        <v>998</v>
      </c>
      <c r="C69" t="s">
        <v>860</v>
      </c>
      <c r="D69">
        <v>597</v>
      </c>
      <c r="E69" t="s">
        <v>620</v>
      </c>
      <c r="F69" t="s">
        <v>999</v>
      </c>
    </row>
    <row r="70" spans="1:6" x14ac:dyDescent="0.3">
      <c r="A70">
        <v>69</v>
      </c>
      <c r="B70" t="s">
        <v>1000</v>
      </c>
      <c r="C70" t="s">
        <v>874</v>
      </c>
      <c r="D70">
        <v>998</v>
      </c>
      <c r="E70" t="s">
        <v>701</v>
      </c>
      <c r="F70" t="s">
        <v>1001</v>
      </c>
    </row>
    <row r="71" spans="1:6" x14ac:dyDescent="0.3">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3C86-A6BA-4516-B775-D14B6864DED8}">
  <dimension ref="A1:I28"/>
  <sheetViews>
    <sheetView tabSelected="1" workbookViewId="0">
      <selection activeCell="B10" sqref="B10"/>
    </sheetView>
  </sheetViews>
  <sheetFormatPr defaultRowHeight="14.4" x14ac:dyDescent="0.3"/>
  <cols>
    <col min="1" max="1" width="14.44140625" bestFit="1" customWidth="1"/>
    <col min="2" max="3" width="14.88671875" bestFit="1" customWidth="1"/>
    <col min="4" max="4" width="13.6640625" bestFit="1" customWidth="1"/>
    <col min="5" max="5" width="16.44140625" bestFit="1" customWidth="1"/>
    <col min="6" max="6" width="27.44140625" bestFit="1" customWidth="1"/>
    <col min="7" max="7" width="12.5546875" bestFit="1" customWidth="1"/>
    <col min="8" max="8" width="14.88671875" bestFit="1" customWidth="1"/>
    <col min="11" max="11" width="12.5546875" bestFit="1" customWidth="1"/>
    <col min="12" max="12" width="14.88671875" bestFit="1" customWidth="1"/>
  </cols>
  <sheetData>
    <row r="1" spans="1:9" x14ac:dyDescent="0.3">
      <c r="A1" s="4" t="s">
        <v>1003</v>
      </c>
      <c r="B1" t="s">
        <v>1014</v>
      </c>
    </row>
    <row r="2" spans="1:9" x14ac:dyDescent="0.3">
      <c r="A2" s="5" t="s">
        <v>842</v>
      </c>
      <c r="B2" s="6">
        <v>95468</v>
      </c>
      <c r="D2" t="s">
        <v>1022</v>
      </c>
      <c r="E2" t="s">
        <v>1015</v>
      </c>
      <c r="F2" t="s">
        <v>1016</v>
      </c>
      <c r="G2" t="s">
        <v>1021</v>
      </c>
    </row>
    <row r="3" spans="1:9" x14ac:dyDescent="0.3">
      <c r="A3" s="5" t="s">
        <v>621</v>
      </c>
      <c r="B3" s="6">
        <v>704509</v>
      </c>
      <c r="D3" s="6">
        <v>3520984</v>
      </c>
      <c r="E3">
        <v>5.53</v>
      </c>
      <c r="F3" s="6">
        <v>3520.9839999999999</v>
      </c>
      <c r="G3">
        <v>1000</v>
      </c>
    </row>
    <row r="4" spans="1:9" x14ac:dyDescent="0.3">
      <c r="A4" s="5" t="s">
        <v>747</v>
      </c>
      <c r="B4" s="6">
        <v>511823</v>
      </c>
    </row>
    <row r="5" spans="1:9" x14ac:dyDescent="0.3">
      <c r="A5" s="5" t="s">
        <v>837</v>
      </c>
      <c r="B5" s="6">
        <v>140393</v>
      </c>
    </row>
    <row r="6" spans="1:9" x14ac:dyDescent="0.3">
      <c r="A6" s="5" t="s">
        <v>840</v>
      </c>
      <c r="B6" s="6">
        <v>150346</v>
      </c>
      <c r="G6">
        <f>CORREL(Orders[Quantity],Orders[Dif_Oreder_Delivery])</f>
        <v>3.4781737193018245E-3</v>
      </c>
      <c r="I6" t="s">
        <v>1018</v>
      </c>
    </row>
    <row r="7" spans="1:9" x14ac:dyDescent="0.3">
      <c r="A7" s="5" t="s">
        <v>841</v>
      </c>
      <c r="B7" s="6">
        <v>157913</v>
      </c>
      <c r="D7" s="4" t="s">
        <v>1003</v>
      </c>
      <c r="E7" t="s">
        <v>1014</v>
      </c>
      <c r="I7" t="s">
        <v>1019</v>
      </c>
    </row>
    <row r="8" spans="1:9" x14ac:dyDescent="0.3">
      <c r="A8" s="5" t="s">
        <v>839</v>
      </c>
      <c r="B8" s="6">
        <v>135826</v>
      </c>
      <c r="D8" s="5" t="s">
        <v>891</v>
      </c>
      <c r="E8" s="6">
        <v>97665</v>
      </c>
      <c r="G8" s="4" t="s">
        <v>1003</v>
      </c>
      <c r="H8" t="s">
        <v>1014</v>
      </c>
      <c r="I8" t="s">
        <v>1020</v>
      </c>
    </row>
    <row r="9" spans="1:9" x14ac:dyDescent="0.3">
      <c r="A9" s="5" t="s">
        <v>795</v>
      </c>
      <c r="B9" s="6">
        <v>737389</v>
      </c>
      <c r="D9" s="5" t="s">
        <v>973</v>
      </c>
      <c r="E9" s="6">
        <v>106624</v>
      </c>
      <c r="G9" s="5" t="s">
        <v>699</v>
      </c>
      <c r="H9" s="6">
        <v>586176</v>
      </c>
    </row>
    <row r="10" spans="1:9" x14ac:dyDescent="0.3">
      <c r="A10" s="5" t="s">
        <v>843</v>
      </c>
      <c r="B10" s="6">
        <v>136938</v>
      </c>
      <c r="D10" s="5" t="s">
        <v>957</v>
      </c>
      <c r="E10" s="6">
        <v>101556</v>
      </c>
      <c r="G10" s="5" t="s">
        <v>698</v>
      </c>
      <c r="H10" s="6">
        <v>674634</v>
      </c>
    </row>
    <row r="11" spans="1:9" x14ac:dyDescent="0.3">
      <c r="A11" s="5" t="s">
        <v>845</v>
      </c>
      <c r="B11" s="6">
        <v>151619</v>
      </c>
      <c r="D11" s="5" t="s">
        <v>859</v>
      </c>
      <c r="E11" s="6">
        <v>121905</v>
      </c>
      <c r="G11" s="5" t="s">
        <v>707</v>
      </c>
      <c r="H11" s="6">
        <v>408194</v>
      </c>
    </row>
    <row r="12" spans="1:9" x14ac:dyDescent="0.3">
      <c r="A12" s="5" t="s">
        <v>822</v>
      </c>
      <c r="B12" s="6">
        <v>449169</v>
      </c>
      <c r="D12" s="5" t="s">
        <v>905</v>
      </c>
      <c r="E12" s="6">
        <v>114476</v>
      </c>
      <c r="G12" s="5" t="s">
        <v>829</v>
      </c>
      <c r="H12" s="6">
        <v>313783</v>
      </c>
    </row>
    <row r="13" spans="1:9" x14ac:dyDescent="0.3">
      <c r="A13" s="5" t="s">
        <v>836</v>
      </c>
      <c r="B13" s="6">
        <v>149591</v>
      </c>
      <c r="D13" s="5" t="s">
        <v>1004</v>
      </c>
      <c r="E13" s="6">
        <v>542226</v>
      </c>
      <c r="G13" s="5" t="s">
        <v>701</v>
      </c>
      <c r="H13" s="6">
        <v>574682</v>
      </c>
    </row>
    <row r="14" spans="1:9" x14ac:dyDescent="0.3">
      <c r="A14" s="5" t="s">
        <v>1004</v>
      </c>
      <c r="B14" s="6">
        <v>3520984</v>
      </c>
      <c r="G14" s="5" t="s">
        <v>794</v>
      </c>
      <c r="H14" s="6">
        <v>631585</v>
      </c>
    </row>
    <row r="15" spans="1:9" x14ac:dyDescent="0.3">
      <c r="G15" s="5" t="s">
        <v>620</v>
      </c>
      <c r="H15" s="6">
        <v>331930</v>
      </c>
    </row>
    <row r="16" spans="1:9" x14ac:dyDescent="0.3">
      <c r="G16" s="5" t="s">
        <v>1004</v>
      </c>
      <c r="H16" s="6">
        <v>3520984</v>
      </c>
    </row>
    <row r="17" spans="1:8" x14ac:dyDescent="0.3">
      <c r="D17" s="4" t="s">
        <v>1003</v>
      </c>
      <c r="E17" t="s">
        <v>1017</v>
      </c>
    </row>
    <row r="18" spans="1:8" x14ac:dyDescent="0.3">
      <c r="A18" s="4" t="s">
        <v>1003</v>
      </c>
      <c r="B18" t="s">
        <v>1014</v>
      </c>
      <c r="D18" s="5" t="s">
        <v>307</v>
      </c>
      <c r="E18">
        <v>29</v>
      </c>
      <c r="G18" s="4" t="s">
        <v>1003</v>
      </c>
      <c r="H18" t="s">
        <v>1014</v>
      </c>
    </row>
    <row r="19" spans="1:8" x14ac:dyDescent="0.3">
      <c r="A19" s="5" t="s">
        <v>874</v>
      </c>
      <c r="B19" s="6">
        <v>329862</v>
      </c>
      <c r="D19" s="5" t="s">
        <v>324</v>
      </c>
      <c r="E19">
        <v>28</v>
      </c>
      <c r="G19" s="5" t="s">
        <v>1010</v>
      </c>
      <c r="H19" s="6">
        <v>628138</v>
      </c>
    </row>
    <row r="20" spans="1:8" x14ac:dyDescent="0.3">
      <c r="A20" s="5" t="s">
        <v>866</v>
      </c>
      <c r="B20" s="6">
        <v>1005645</v>
      </c>
      <c r="D20" s="5" t="s">
        <v>158</v>
      </c>
      <c r="E20">
        <v>27</v>
      </c>
      <c r="G20" s="5" t="s">
        <v>1011</v>
      </c>
      <c r="H20" s="6">
        <v>461670</v>
      </c>
    </row>
    <row r="21" spans="1:8" x14ac:dyDescent="0.3">
      <c r="A21" s="5" t="s">
        <v>885</v>
      </c>
      <c r="B21" s="6">
        <v>201151</v>
      </c>
      <c r="D21" s="5" t="s">
        <v>188</v>
      </c>
      <c r="E21">
        <v>24</v>
      </c>
      <c r="G21" s="5" t="s">
        <v>1012</v>
      </c>
      <c r="H21" s="6">
        <v>677223</v>
      </c>
    </row>
    <row r="22" spans="1:8" x14ac:dyDescent="0.3">
      <c r="A22" s="5" t="s">
        <v>863</v>
      </c>
      <c r="B22" s="6">
        <v>212281</v>
      </c>
      <c r="D22" s="5" t="s">
        <v>152</v>
      </c>
      <c r="E22">
        <v>21</v>
      </c>
      <c r="G22" s="5" t="s">
        <v>1008</v>
      </c>
      <c r="H22" s="6">
        <v>415192</v>
      </c>
    </row>
    <row r="23" spans="1:8" x14ac:dyDescent="0.3">
      <c r="A23" s="5" t="s">
        <v>794</v>
      </c>
      <c r="B23" s="6">
        <v>297372</v>
      </c>
      <c r="D23" s="5" t="s">
        <v>230</v>
      </c>
      <c r="E23">
        <v>21</v>
      </c>
      <c r="G23" s="5" t="s">
        <v>1013</v>
      </c>
      <c r="H23" s="6">
        <v>418354</v>
      </c>
    </row>
    <row r="24" spans="1:8" x14ac:dyDescent="0.3">
      <c r="A24" s="5" t="s">
        <v>860</v>
      </c>
      <c r="B24" s="6">
        <v>740831</v>
      </c>
      <c r="D24" s="5" t="s">
        <v>397</v>
      </c>
      <c r="E24">
        <v>19</v>
      </c>
      <c r="G24" s="5" t="s">
        <v>1009</v>
      </c>
      <c r="H24" s="6">
        <v>475447</v>
      </c>
    </row>
    <row r="25" spans="1:8" x14ac:dyDescent="0.3">
      <c r="A25" s="5" t="s">
        <v>869</v>
      </c>
      <c r="B25" s="6">
        <v>733842</v>
      </c>
      <c r="D25" s="5" t="s">
        <v>218</v>
      </c>
      <c r="E25">
        <v>18</v>
      </c>
      <c r="G25" s="5" t="s">
        <v>1007</v>
      </c>
      <c r="H25" s="6">
        <v>444960</v>
      </c>
    </row>
    <row r="26" spans="1:8" x14ac:dyDescent="0.3">
      <c r="A26" s="5" t="s">
        <v>1004</v>
      </c>
      <c r="B26" s="6">
        <v>3520984</v>
      </c>
      <c r="D26" s="5" t="s">
        <v>277</v>
      </c>
      <c r="E26">
        <v>17</v>
      </c>
      <c r="G26" s="5" t="s">
        <v>1004</v>
      </c>
      <c r="H26" s="6">
        <v>3520984</v>
      </c>
    </row>
    <row r="27" spans="1:8" x14ac:dyDescent="0.3">
      <c r="D27" s="5" t="s">
        <v>134</v>
      </c>
      <c r="E27">
        <v>16</v>
      </c>
    </row>
    <row r="28" spans="1:8" x14ac:dyDescent="0.3">
      <c r="D28" s="5" t="s">
        <v>1004</v>
      </c>
      <c r="E28">
        <v>220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87D8C-4CA5-4A4D-824F-CECA70033C44}">
  <dimension ref="A1"/>
  <sheetViews>
    <sheetView topLeftCell="A6" zoomScale="76" zoomScaleNormal="77" workbookViewId="0">
      <selection activeCell="AC26" sqref="AC26"/>
    </sheetView>
  </sheetViews>
  <sheetFormatPr defaultRowHeight="14.4" x14ac:dyDescent="0.3"/>
  <cols>
    <col min="1" max="16384" width="8.8867187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95D06BA-C4DF-431B-8604-A761014AC167}">
  <ds:schemaRefs/>
</ds:datastoreItem>
</file>

<file path=customXml/itemProps2.xml><?xml version="1.0" encoding="utf-8"?>
<ds:datastoreItem xmlns:ds="http://schemas.openxmlformats.org/officeDocument/2006/customXml" ds:itemID="{4F5BDC6D-F7E4-40B2-A079-CB5CB557D47F}">
  <ds:schemaRefs/>
</ds:datastoreItem>
</file>

<file path=customXml/itemProps3.xml><?xml version="1.0" encoding="utf-8"?>
<ds:datastoreItem xmlns:ds="http://schemas.openxmlformats.org/officeDocument/2006/customXml" ds:itemID="{536911AD-8E4A-45B7-9151-A8B5A52B4B7C}">
  <ds:schemaRefs/>
</ds:datastoreItem>
</file>

<file path=customXml/itemProps4.xml><?xml version="1.0" encoding="utf-8"?>
<ds:datastoreItem xmlns:ds="http://schemas.openxmlformats.org/officeDocument/2006/customXml" ds:itemID="{03CC07B7-8EA1-4576-9E94-7934E70F24A7}">
  <ds:schemaRefs/>
</ds:datastoreItem>
</file>

<file path=customXml/itemProps5.xml><?xml version="1.0" encoding="utf-8"?>
<ds:datastoreItem xmlns:ds="http://schemas.openxmlformats.org/officeDocument/2006/customXml" ds:itemID="{D9CEEC5D-562F-4BC4-B7E0-F7D749DACCB1}">
  <ds:schemaRefs/>
</ds:datastoreItem>
</file>

<file path=customXml/itemProps6.xml><?xml version="1.0" encoding="utf-8"?>
<ds:datastoreItem xmlns:ds="http://schemas.openxmlformats.org/officeDocument/2006/customXml" ds:itemID="{2CE59D7A-4F89-41A6-878A-E79E1D57BDC6}">
  <ds:schemaRefs/>
</ds:datastoreItem>
</file>

<file path=customXml/itemProps7.xml><?xml version="1.0" encoding="utf-8"?>
<ds:datastoreItem xmlns:ds="http://schemas.openxmlformats.org/officeDocument/2006/customXml" ds:itemID="{12D3B084-CD4A-4899-8796-ED95339B4798}">
  <ds:schemaRefs/>
</ds:datastoreItem>
</file>

<file path=customXml/itemProps8.xml><?xml version="1.0" encoding="utf-8"?>
<ds:datastoreItem xmlns:ds="http://schemas.openxmlformats.org/officeDocument/2006/customXml" ds:itemID="{023F5D85-EBE5-40C5-941E-03C6EDBFED4B}">
  <ds:schemaRefs/>
</ds:datastoreItem>
</file>

<file path=customXml/itemProps9.xml><?xml version="1.0" encoding="utf-8"?>
<ds:datastoreItem xmlns:ds="http://schemas.openxmlformats.org/officeDocument/2006/customXml" ds:itemID="{461A4948-95F7-4206-AAF2-7AE68F199D93}">
  <ds:schemaRefs/>
</ds:datastoreItem>
</file>

<file path=customXml/itemProps10.xml><?xml version="1.0" encoding="utf-8"?>
<ds:datastoreItem xmlns:ds="http://schemas.openxmlformats.org/officeDocument/2006/customXml" ds:itemID="{C268652B-180B-4113-A70B-CCD2EC344373}">
  <ds:schemaRefs/>
</ds:datastoreItem>
</file>

<file path=customXml/itemProps11.xml><?xml version="1.0" encoding="utf-8"?>
<ds:datastoreItem xmlns:ds="http://schemas.openxmlformats.org/officeDocument/2006/customXml" ds:itemID="{A4A11AC6-EEC9-4415-B9BD-6E84AA3A7166}">
  <ds:schemaRefs/>
</ds:datastoreItem>
</file>

<file path=customXml/itemProps12.xml><?xml version="1.0" encoding="utf-8"?>
<ds:datastoreItem xmlns:ds="http://schemas.openxmlformats.org/officeDocument/2006/customXml" ds:itemID="{85BC6B2C-F06E-4A2E-B516-E4BE46B344DD}">
  <ds:schemaRefs/>
</ds:datastoreItem>
</file>

<file path=customXml/itemProps13.xml><?xml version="1.0" encoding="utf-8"?>
<ds:datastoreItem xmlns:ds="http://schemas.openxmlformats.org/officeDocument/2006/customXml" ds:itemID="{3985EEB0-7F45-4098-B51F-F3E7CF1ECCAA}">
  <ds:schemaRefs/>
</ds:datastoreItem>
</file>

<file path=customXml/itemProps14.xml><?xml version="1.0" encoding="utf-8"?>
<ds:datastoreItem xmlns:ds="http://schemas.openxmlformats.org/officeDocument/2006/customXml" ds:itemID="{41ADD4AA-B60D-47B6-8128-9E30F463EF3E}">
  <ds:schemaRefs/>
</ds:datastoreItem>
</file>

<file path=customXml/itemProps15.xml><?xml version="1.0" encoding="utf-8"?>
<ds:datastoreItem xmlns:ds="http://schemas.openxmlformats.org/officeDocument/2006/customXml" ds:itemID="{19C78701-2D3E-428F-8536-010614039C1A}">
  <ds:schemaRefs>
    <ds:schemaRef ds:uri="http://schemas.microsoft.com/DataMashup"/>
  </ds:schemaRefs>
</ds:datastoreItem>
</file>

<file path=customXml/itemProps16.xml><?xml version="1.0" encoding="utf-8"?>
<ds:datastoreItem xmlns:ds="http://schemas.openxmlformats.org/officeDocument/2006/customXml" ds:itemID="{F7B3253B-9762-407F-B5D4-E90C5ED57F1D}">
  <ds:schemaRefs/>
</ds:datastoreItem>
</file>

<file path=customXml/itemProps17.xml><?xml version="1.0" encoding="utf-8"?>
<ds:datastoreItem xmlns:ds="http://schemas.openxmlformats.org/officeDocument/2006/customXml" ds:itemID="{A75F80AA-A76E-4399-B408-5D634D37B1BA}">
  <ds:schemaRefs/>
</ds:datastoreItem>
</file>

<file path=customXml/itemProps18.xml><?xml version="1.0" encoding="utf-8"?>
<ds:datastoreItem xmlns:ds="http://schemas.openxmlformats.org/officeDocument/2006/customXml" ds:itemID="{3C9C950D-E0A4-4C82-AD37-2F562E1E6F3E}">
  <ds:schemaRefs/>
</ds:datastoreItem>
</file>

<file path=customXml/itemProps19.xml><?xml version="1.0" encoding="utf-8"?>
<ds:datastoreItem xmlns:ds="http://schemas.openxmlformats.org/officeDocument/2006/customXml" ds:itemID="{6122BA8B-4C99-40EE-9DA0-FFFF2477FB9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Arnipalli Madhusudhanrao</dc:creator>
  <cp:lastModifiedBy>Arnipalli Madhusudhanrao</cp:lastModifiedBy>
  <cp:lastPrinted>2026-09-08T05:58:00Z</cp:lastPrinted>
  <dcterms:created xsi:type="dcterms:W3CDTF">2026-09-07T13:31:33Z</dcterms:created>
  <dcterms:modified xsi:type="dcterms:W3CDTF">2026-09-08T11:17:48Z</dcterms:modified>
</cp:coreProperties>
</file>